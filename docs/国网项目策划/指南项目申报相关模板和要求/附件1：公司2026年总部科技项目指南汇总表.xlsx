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firstSheet="2" activeTab="2"/>
  </bookViews>
  <sheets>
    <sheet name="指南清单及评审结果" sheetId="4" state="hidden" r:id="rId1"/>
    <sheet name="计算经费" sheetId="5" state="hidden" r:id="rId2"/>
    <sheet name="打印版本" sheetId="6" r:id="rId3"/>
  </sheets>
  <definedNames>
    <definedName name="_xlnm._FilterDatabase" localSheetId="0" hidden="1">指南清单及评审结果!$A$4:$U$143</definedName>
    <definedName name="_xlnm._FilterDatabase" localSheetId="1" hidden="1">计算经费!$G$1:$J$115</definedName>
    <definedName name="_xlnm._FilterDatabase" localSheetId="2" hidden="1">打印版本!$A$3:$K$281</definedName>
    <definedName name="address">"MID(GET.WORKBOOK(1),FIND(""]"",GET.WORKBOOK(1))+1,100) "</definedName>
    <definedName name="frmCreateSheetList">#REF!</definedName>
    <definedName name="_xlnm.Print_Area" localSheetId="0">指南清单及评审结果!$A$1:$T$132</definedName>
    <definedName name="_xlnm.Print_Titles" localSheetId="0">指南清单及评审结果!$1:$4</definedName>
    <definedName name="_xlnm.Print_Titles" localSheetId="2">打印版本!$3:$3</definedName>
  </definedNames>
  <calcPr calcId="144525"/>
</workbook>
</file>

<file path=xl/sharedStrings.xml><?xml version="1.0" encoding="utf-8"?>
<sst xmlns="http://schemas.openxmlformats.org/spreadsheetml/2006/main" count="2992" uniqueCount="1373">
  <si>
    <t>附件2</t>
  </si>
  <si>
    <t>公司2025年第二批总部科技项目指南清单及评审结果</t>
  </si>
  <si>
    <t>序号</t>
  </si>
  <si>
    <t>指南名称</t>
  </si>
  <si>
    <t>技术领域</t>
  </si>
  <si>
    <t>技术子领域</t>
  </si>
  <si>
    <t>发布对象</t>
  </si>
  <si>
    <t>研究内容</t>
  </si>
  <si>
    <t>开始时间</t>
  </si>
  <si>
    <t>完成时间</t>
  </si>
  <si>
    <t>申报总经费
（万元）</t>
  </si>
  <si>
    <t>其中，原口径申报经费
（万元）</t>
  </si>
  <si>
    <t>其中，出资单位人工成本（万元）</t>
  </si>
  <si>
    <t>审核后总经费（万元）</t>
  </si>
  <si>
    <t>其中，原口径经费（万元）</t>
  </si>
  <si>
    <t>技术分数</t>
  </si>
  <si>
    <t>立项
支持率</t>
  </si>
  <si>
    <t>是否
发布</t>
  </si>
  <si>
    <t>备注</t>
  </si>
  <si>
    <t>对应关键技术</t>
  </si>
  <si>
    <t>红色为修改后的指南名称，与现文本一致</t>
  </si>
  <si>
    <t>不得调整指南排序</t>
  </si>
  <si>
    <t>原则上均为“省级电力公司”</t>
  </si>
  <si>
    <t>按照以下模板体例修改，写子课题</t>
  </si>
  <si>
    <t>从2025年11月开始，顺延</t>
  </si>
  <si>
    <t>申报经费</t>
  </si>
  <si>
    <t>现经费</t>
  </si>
  <si>
    <t>原口径经费差额</t>
  </si>
  <si>
    <t>人工费经费差额</t>
  </si>
  <si>
    <t>L-O列不要发给指南组</t>
  </si>
  <si>
    <t>关键技术/标志性成果编号</t>
  </si>
  <si>
    <t>省域高比例分布式新能源聚合稳定控制技术研究及应用</t>
  </si>
  <si>
    <t>源网协同发展</t>
  </si>
  <si>
    <t>新能源</t>
  </si>
  <si>
    <t>省级电力公司</t>
  </si>
  <si>
    <t>1.安全稳定约束下省级电网分布式新能源承载极限评估技术研究
2.提高电网稳定性的分布式新能源规模化协同支撑技术研究
3.高比例分布式新能源分层分区聚合稳定控制技术研究
4.高比例分布式新能源广域协同调控技术研究及示范应用</t>
  </si>
  <si>
    <t>17/18</t>
  </si>
  <si>
    <t>是</t>
  </si>
  <si>
    <t>G01030304</t>
  </si>
  <si>
    <t>面向风光消纳的多类型制氢柔性负荷调控关键技术研究与示范</t>
  </si>
  <si>
    <t>储能</t>
  </si>
  <si>
    <t>1.面向波动工况的碱性电解制氢单机宽范围运行控制技术研究
2.面向碱性制氢宽范围高效运行的制氢电源关键技术研究
3.兼顾多类型单机调节特性与安全寿命约束的制氢柔性负荷管控技术研究
4.碱性/PEM制氢波动适应性试验及协同调控示范应用</t>
  </si>
  <si>
    <t>18/18</t>
  </si>
  <si>
    <t>G01040306</t>
  </si>
  <si>
    <t>适应高比例新能源波动的爬坡需求评估及运行风险预警技术</t>
  </si>
  <si>
    <t>1.考虑多重不确定性因素的电力系统多时空尺度爬坡需求概率化评估技术
2.考虑多维受阻因素的系统爬坡能力量化分析技术
3.考虑爬坡供需平衡的系统运行风险评估及预警技术
4.电力系统爬坡供需评估及运行风险预警系统研发与应用</t>
  </si>
  <si>
    <t>G01020202</t>
  </si>
  <si>
    <t>市场条件下新能源交易决策模拟及电力系统平衡风险评估技术研究及应用</t>
  </si>
  <si>
    <t>1.分布式新能源聚合参与电力市场交易的模式及策略研究
2.全电量参与市场场景下新能源交易决策模拟技术研究
3.场站报价决策偏好对系统平衡风险评估技术研究
4.新能源场站交易模拟推演平台及电力平衡风险评估系统研发及应用</t>
  </si>
  <si>
    <t>G01030505</t>
  </si>
  <si>
    <t>电机工程学会提报需求。对应王伟胜《数据-物理混合驱动的电力气象大模型研究》，课题经费70万。加上任务制项目分摊20万，共计给学会90万。</t>
  </si>
  <si>
    <t>面向新型电力系统的大型水电控制系统协同调节与灵活性提升研究</t>
  </si>
  <si>
    <t>水电</t>
  </si>
  <si>
    <t>1.适应新型电力系统下的大型水电机组多重调控需求分析及技术路径研究
2.适应新型电力系统的大型水电机组监控、调速、励磁系统协同运行和联合调控技术研究
3.支撑新型电力系统的大型水电机组有功宽范围灵活调节和一次调频快速实时响应研究
4.支撑新型电力系统的大型水电机组无功灵活调节和动态实时补偿研究</t>
  </si>
  <si>
    <t>支持水电专业</t>
  </si>
  <si>
    <t>G01040103</t>
  </si>
  <si>
    <t>定速抽水蓄能电站一管多机水力短路运行关键技术研究</t>
  </si>
  <si>
    <t>1.电价机制驱动下的一管多机水力短路模式入力调节经济性研究
2.一管多机水力短路模式下输水发电系统过渡过程安全性研究
3.一管多机水力短路模式下输水系统岔管优化设计研究
4.一管多机水力短路模式下机组运行控制策略研究</t>
  </si>
  <si>
    <t>G01040104</t>
  </si>
  <si>
    <t>多流域水风光储广域优化运行关键技术研究</t>
  </si>
  <si>
    <t>1.人工智能与水文模型协同优化预报技术研究
2.区域新能源人工智能多场站一体化联合预测技术研究
3.多流域水风光储中短期消纳风险评估与协同运行优化技术研究
4.多流域水风光储一体化调度决策支持平台研制</t>
  </si>
  <si>
    <t>15/18</t>
  </si>
  <si>
    <t>G01020301</t>
  </si>
  <si>
    <t>锂电-超级电容直流并联的混合储能交直流协同控制技术与应用</t>
  </si>
  <si>
    <t>1.储能构网控制对锂电池循环寿命的影响机理及量化评估技术
2.锂电-超级电容直流并联的混合储能拓扑设计与容量配置技术
3.锂电-超级电容直流并联的混合储能交直流协同控制技术
4.锂电-超级电容直流并联的混合储能工程实证与综合性能评价</t>
  </si>
  <si>
    <t>G01040203</t>
  </si>
  <si>
    <t>提升新能源消纳的抽水蓄能与新型储能协同配置优化技术研究</t>
  </si>
  <si>
    <t>1.考虑新能源消纳的储能需求特征解析及规模预测技术研究
2.抽水蓄能与新型储能协同调节能力量化关键技术
3.抽水蓄能协同新型储能经济性仿真技术研究
4.抽水蓄能协同新型储能配置优化方法及应用研究</t>
  </si>
  <si>
    <t>G01020104</t>
  </si>
  <si>
    <t>面向电网紧急支撑的广域异构分布式电源聚合控制技术研究及应用</t>
  </si>
  <si>
    <t>1.广域异构分布式电源紧急支撑动态特性分析与建模技术研究
2.广域异构分布式电源紧急支撑协同控制技术研究
3.基于紧急支撑优先级的异构分布式电源动态聚合与控制技术研究
4.广域异构分布式电源聚合控制系统研发与应用</t>
  </si>
  <si>
    <t>G01030302</t>
  </si>
  <si>
    <t>高功率储能电池电热管理及状态评估技术研究</t>
  </si>
  <si>
    <t>1.面向“材料-单体”闭环联动的高功率电池热失控机制研究
2.高功率储能系统运行状态感知与预警技术研究
3.高功率储能系统电热管理技术研究
4.面向高功率波动工况运行的储能系统样机制备及试点应用</t>
  </si>
  <si>
    <t>14/18</t>
  </si>
  <si>
    <t>储能策源地</t>
  </si>
  <si>
    <t>G01040301</t>
  </si>
  <si>
    <t>提升供热期新能源消纳的电-热-储协调优化技术研究与应用</t>
  </si>
  <si>
    <t>1.热储“深改”火电机组调峰特性及其优化方法
2.面向高比例分布式光伏消纳的电热多场景调控需求研究
3.提升供热期新能源消纳的地区电网电-热-储多源协调优化运行策略研究
4.电-热-储协调优化决策软件研发与应用示范</t>
  </si>
  <si>
    <t>G01030504</t>
  </si>
  <si>
    <t>源荷联动的新能源构网供能控制技术及实证</t>
  </si>
  <si>
    <t>1.风光波动下新能源可靠构网控制技术及能力评估
2.风光互补的多构网单元协同运行与长时供能技术
3.电解铝/制氢/制热负荷主动响应控制技术
4.源荷联动新能源构网供能系统实证平台及应用</t>
  </si>
  <si>
    <t>G01020502</t>
  </si>
  <si>
    <t>抽水蓄能机组运行评估优化技术及系统应用研究</t>
  </si>
  <si>
    <t>1.抽蓄机组运行状态特征辨识与实时监测技术研究
2.抽蓄机组运行安全评估技术研究
3.抽水蓄能电站运行调节能力评估及优化技术研究
4.抽水蓄能电站在线运行评估系统研发及示范应用</t>
  </si>
  <si>
    <t>16/18</t>
  </si>
  <si>
    <t>G01010404</t>
  </si>
  <si>
    <t>热泵熔盐储热关键技术研究</t>
  </si>
  <si>
    <t>1.热泵储热发电系统优化与能质提升规律研究
2.低熔点低成本低腐蚀宽液体温域混合熔盐材料研发
3.熔盐蓄热换热系统的变工况动态特性及储释热调控策略
4.面向新能源基地绿电消纳场景的热泵储电系统动态耦合机理与优化调控技术</t>
  </si>
  <si>
    <t>G01040305</t>
  </si>
  <si>
    <t>长寿命高能效锂离子电池关键技术研究</t>
  </si>
  <si>
    <t>1.不同应用场景下锂离子电池衰退机理及性能需求分析
2.面向电力储能的长寿命、高安全、高能效锂离子电池开发
3.超长寿命锂离子电池状态评估和寿命预测技术研究</t>
  </si>
  <si>
    <t>12/18</t>
  </si>
  <si>
    <t>G01040302</t>
  </si>
  <si>
    <t>基于海水制氢的海上风电与受端电网灵活互动关键技术与装备研究</t>
  </si>
  <si>
    <t>1.面向海上风电灵活性提升的风-氢耦合系统优化配置技术研究
2.适用风电直供的海水制氢关键装备及其宽范围运行控制技术研究
3.海上风-氢耦合系统功率协同调控及与受端电网灵活互动技术研究</t>
  </si>
  <si>
    <t>浙江大学提报需求</t>
  </si>
  <si>
    <t>浙江大学提报需求。浙江公司牵头，浙大负责人韦巍，支持经费730万元。</t>
  </si>
  <si>
    <t>面向送出能力提升的海上风电与滩涂光伏功率快速协同控制技术研究</t>
  </si>
  <si>
    <t>1.海上风电与滩涂光伏集群接入分区电网拓扑优选技术研究
2.海上风电与滩涂光伏密集并网系统暂态稳定性分析
3.海上风电与滩涂光伏分区电网级协同功率快速控制技术研究
4.面向送出能力提升的海上风电与滩涂光伏协同控制系统开发及应用</t>
  </si>
  <si>
    <t>否</t>
  </si>
  <si>
    <t>出库指标限制</t>
  </si>
  <si>
    <t>G01030402</t>
  </si>
  <si>
    <t>面向电力仿真软件大模型助手的储能建模与场景优化适配方法研究</t>
  </si>
  <si>
    <t>1.电化学储能通用化多尺度表征模型构建
2.电力仿真场景下的大模型助手构建与知识增强
3.AI驱动的电力仿真场景智能生成与储能场站规划配置方法
4.大模型助手驱动的储能建模与优化系统集成测试与综合评估</t>
  </si>
  <si>
    <t>不满足指南发布条件</t>
  </si>
  <si>
    <t>G01030103</t>
  </si>
  <si>
    <t>特高压直流输电系统及近区交流线路高性能保护技术研究</t>
  </si>
  <si>
    <t>大电网规划运行</t>
  </si>
  <si>
    <t>系统控制与保护</t>
  </si>
  <si>
    <t>1.特高压直流输电系统线路故障解析分析方法研究；
2.自同步直流输电线路行波差动保护技术研究；
3.基于序量突变特性的特高压直流近区交流输电线路保护技术研究；
4.特高压直流输电系统高性能交直流线路保护验证技术研究.</t>
  </si>
  <si>
    <t>16/16</t>
  </si>
  <si>
    <t>G02030104</t>
  </si>
  <si>
    <t>应对高比例新能源电力系统安全风险的新型第三道防线构建技术</t>
  </si>
  <si>
    <t>1.高比例新能源电力系统大停电规律研究；
2.适应新能源高占比运行工况的低频减载优化策略研究；
3.适应高比例新能源电网的高频切机优化策略研究；
4.高比例新能源电力系统失步振荡特征及失步解列优化策略研究；
5.高比例新能源电力系统新型第三道防线智能决策支持系统研发。</t>
  </si>
  <si>
    <t>G02030305</t>
  </si>
  <si>
    <t>含多类型构网设备送端电网动态电压安全边界与优化配置研究</t>
  </si>
  <si>
    <t>电网形态与规划</t>
  </si>
  <si>
    <t>1.多形态跟-构网型设备耦合的送端电网动态电压安全稳定机理及影响因素研究；
2.考虑空间分布特性的送端电网多构网设备聚合电压支撑能力评估方法；
3.计及动态电压安全稳定约束的新能源接纳能力评估及优化提升研究；
4.沙戈荒基地多回特高压直流外送电网多类型构网设备优化配置研究.</t>
  </si>
  <si>
    <t>G02010208</t>
  </si>
  <si>
    <t>多场景下电网跨线故障特征分析及保护新原理研究</t>
  </si>
  <si>
    <t>1.多场景下电网跨线故障特征分析及保护适应性研究；
2.多场景下电网跨线故障的交流线路快速主保护新原理研究；
3.多场景下电网跨线故障的高可靠线路后备保护新方法研究；
4.多场景下电网跨线故障线路保护新原理验证技术研究.</t>
  </si>
  <si>
    <t>15/16</t>
  </si>
  <si>
    <t>G02030101、G02030102</t>
  </si>
  <si>
    <t>高比例新能源弱送端电网新型动态稳定特性分析及控制技术</t>
  </si>
  <si>
    <t>系统安全稳定运行</t>
  </si>
  <si>
    <t>1.计及非互补多模态耦合的弱送端电网新型小扰动动态稳定分析；
2.新能源切换控制主导的弱送端电网新型大扰动动态稳定分析；
3.面向复杂多工况的高比例新能源弱送端电网新型动态稳定协同控制；
4.新型动态稳定分析软件研发、控制装置研制及示范应用.</t>
  </si>
  <si>
    <t>14/16</t>
  </si>
  <si>
    <t>G02020104</t>
  </si>
  <si>
    <t>电机工程学会提报需求。对应徐式蕴《碳中和背景下高比例电力电子电力系统安全稳定运行分析与控制技术研究》，学会课题经费50万元。</t>
  </si>
  <si>
    <t>支撑负荷中心电网安全稳定运行的多类型电力电子装备调控关键技术研究及应用</t>
  </si>
  <si>
    <t>1.电力电子装备和同步机运行占比动态变化的电力系统安全稳定机理研究；
2.电力电子型稳定支撑资源时空优化配置方法研究；
3.考虑潮流多变特性的电网安全稳定风险评估与稳定运行域刻画技术研究；
4.多类型电力电子装备集群协同的系统稳定调控技术及平台研发。</t>
  </si>
  <si>
    <t>计及规模化储能的多元调节资源协调优化调度技术研究</t>
  </si>
  <si>
    <t>调度自动化与电力市场运营</t>
  </si>
  <si>
    <t>1.多类型储能调度模型构建方法与自适应网络模型构建技术研究；
2.适应新能源全面入市的多层级储能参与主市场与微市场双路径优化策略研究；
3.计及长时新能源消纳与电力供应保障的多类型储能充放循环策略与优化调度算法研究；
4.多类型储能及多元调节资源新能源消纳贡献度评价方法及提升策略研究；
5.计及规模化储能的多元调节资源协调优化调度软件研发及示范应用。</t>
  </si>
  <si>
    <t>G02040209</t>
  </si>
  <si>
    <t>抽水蓄能高占比电力系统优化规划方法研究</t>
  </si>
  <si>
    <t>1.高比例抽水蓄能在电力系统中电力电量平衡作用研究
2.新能源高占比电力系统对抽蓄运行性能的要求及分析方法研究
3.提升抽蓄集群和新能源集群交互效能的网源协调规划关键技术研究
4.高比例抽水蓄能在跨省、跨区电力系统中成本分摊及疏导机制研究</t>
  </si>
  <si>
    <t>G02010103</t>
  </si>
  <si>
    <t>面向全国统一电力市场一体化运营的智能数据分析关键技术研究</t>
  </si>
  <si>
    <t>1.电力交易结算数据分析场景构建及建模方法研究；
2.电力市场混合专家模型架构与智能工具链研究；
3.复杂异构数据下智能分析算法评估修正技术与自优化方法研究；
4.电力市场数据智能分析软件研发与示范应用。</t>
  </si>
  <si>
    <t>G02050101</t>
  </si>
  <si>
    <t>适用发用两侧多元海量市场主体参与的省间电力现货关键技术</t>
  </si>
  <si>
    <t>1.省间现货多元市场主体协同交易机制设计与仿真研究；
2.考虑交直流电网发输电设备耦合约束的省间现货交易建模技术研究；
3.支撑海量多元主体参与的省间现货优化出清技术研究；
4.适用发用两侧多元海量市场主体参与的省间电力现货交易技术示范应用。</t>
  </si>
  <si>
    <t>G02050203</t>
  </si>
  <si>
    <t>调度控制系统高可靠主备一体关键技术研究与应用</t>
  </si>
  <si>
    <t>1.主备一体调度控制系统体系架构技术研究；
2.主备系统高可用管理技术研究；
3.省域海量实时数据高性能并行采集与处理技术研究；
4.主备一体主动运维技术研究。</t>
  </si>
  <si>
    <t>G02040109</t>
  </si>
  <si>
    <t>信息不完备条件下主配一体电网状态全景监视与分析技术研究</t>
  </si>
  <si>
    <t>1.电网物理拓扑图感知及静态参数与拓扑协同治理技术研究；
2.低量测下主配一体状态估计图学习技术与电网运趋势分析方法研究；
3.主配协同风险预警处置及拓扑优化决策方法研究；
4.主配一体全景监视和辅助决策运行分析软件研发及示范。</t>
  </si>
  <si>
    <t>G02040304</t>
  </si>
  <si>
    <t>计及系统惯量评估与优化的新能源高占比系统频率稳定控制技术</t>
  </si>
  <si>
    <t>1.高比例新能源系统的惯量表征方法及对频率动态特性的影响规律研究
2.提升系统惯量充裕度的运行方式优化预防控制研究
3.大扰动故障下自适应惯量时变的频率第三道防线控制技术研究</t>
  </si>
  <si>
    <t>G02020103</t>
  </si>
  <si>
    <t>新能源高占比下大型能源基地优化调度与市场交易技术研究</t>
  </si>
  <si>
    <t>1.考虑外送通道稳定运行与高效利用的大型能源基地优化调度体系研究；
2.大型能源基地短期市场体系设计及衔接机制研究；
3.基于多源互补特性的大型能源基地短期平衡市场竞价出清技术研究；
4.考虑大型能源基地参与的区域、省间出清技术研究
5.新能源高占比下大型能源基地优化调度与市场交易技术示范应用。</t>
  </si>
  <si>
    <t>13/16</t>
  </si>
  <si>
    <t>G02050202</t>
  </si>
  <si>
    <t xml:space="preserve">复杂扰动下极高电力电子化弱互联局部电网稳定控制关键技术
</t>
  </si>
  <si>
    <t>1.极高电力电子化弱互联局部电网的运行特性与稳定机理研究；
2.局部电网稳定性评估指标体系构建与构网需求量化方法研究；
3.面向复杂扰动的源-荷-储多元协同稳定运行控制技术研究；
4.基于分层分区的局部电网故障自恢复控制策略研究。</t>
  </si>
  <si>
    <t>G02020604</t>
  </si>
  <si>
    <t>浙江大学提报需求。四川公司牵头，浙大负责人江全元，支持经费558万元。</t>
  </si>
  <si>
    <t>面向电力电子化电网的厂站高精度测量关键技术研究与应用</t>
  </si>
  <si>
    <t>1.电力电子化电网宽频时变信号特性分析与建模；
2.快速动态变化信号高精度测量算法与容错技术研究；
3.高精度频率与相角测量测试验证技术研究；
4.面向电力电子电网高性能测量装置研发及应用。</t>
  </si>
  <si>
    <t>G02040402</t>
  </si>
  <si>
    <t>基于混合量测的在线潮流计算与振荡传播监测技术</t>
  </si>
  <si>
    <t>1.多源混合量测数据智能融合技术研究；
2.面向实时性与准确性的混合量测在线潮流计算技术研究；
3.电网振荡传播路径监测与分析技术研究；
4.省级主网混合量测在线潮流示范应用与验证。</t>
  </si>
  <si>
    <t>G02040108</t>
  </si>
  <si>
    <t>新能源基地电力系统多维强度评估和场站模块化构建方法与应用</t>
  </si>
  <si>
    <t xml:space="preserve">1.考虑多类型电力电子装备集群影响的新型电力系统多维强度量化方法；
2.送端新能源基地/源网荷储一体化场景下面向稳定运行需求的强度约束条件生成方法;
3.强度约束下多类型装备协同稳控技术与面向送端新能源基地和源网荷储一体化场景模块化构建方法；
4.支撑新型电力系统安全稳定的新能源基地模块化构建技术规范及应用。
</t>
  </si>
  <si>
    <t>浙江大学提报需求。陕西公司牵头，浙大负责人辛焕海，支持经费665万元。</t>
  </si>
  <si>
    <t>市场环境下电网“安全-低碳-经济”协同优化调度及综合价值评估关键技术研究</t>
  </si>
  <si>
    <t>1.面向“安全-低碳-经济”协同的多层次统一电力市场机制研究
2.多源不确定性下系统调节需求与经济运行边界刻画研究
3.电力现货市场安全-低碳-经济多目标协同优化出清技术研究
4.电力市场运营综合价值评估技术研究</t>
  </si>
  <si>
    <t>中国科协2025年十大产业技术问题，中国电机工程学会提报需求</t>
  </si>
  <si>
    <t>G02050201</t>
  </si>
  <si>
    <t>电机工程学会提报需求。郭剑波项目单独立项，学会经费80万。加上任务制项目分摊20万，共计给学会100万。</t>
  </si>
  <si>
    <t>数据知识双驱动的新型电力系统智能自主弹性调度技术</t>
  </si>
  <si>
    <t>1.基于可信人工智能的新型电力系统运行风险快速评估研究；
2.面向新型电力系统智能调度决策的数据驱动建模方法研究；
3.融合物理知识与数据驱动的新型电力系统智能弹性调度研究；
4.新型电力系统智能调度模型场景自适应与自主优化技术研究</t>
  </si>
  <si>
    <t>G02040103</t>
  </si>
  <si>
    <t>浙江大学提报需求。浙江公司牵头，浙大负责人郭创新，支持经费596万元。</t>
  </si>
  <si>
    <t>新型受端系统中广义负荷灵活资源支撑频率-电压协同调控研究</t>
  </si>
  <si>
    <t xml:space="preserve">1.广义负荷调控潜力多维度刻画与量化评估；
2.广义负荷有功-无功与频率-电压关联灵敏度；
3.受端系统频率-电压耦合分析与综合安全域；
4.广义负荷支撑受端系统频率-电压协同调控策略。
</t>
  </si>
  <si>
    <t>11/16</t>
  </si>
  <si>
    <t>浙江大学提报需求，不满足指南发布条件</t>
  </si>
  <si>
    <t>浙江大学提报需求，不满足指南发布条件。浙大万灿，鞠平团队。</t>
  </si>
  <si>
    <t>复杂配电网拓扑快速精准辨识及优化重构技术研究与应用</t>
  </si>
  <si>
    <t>配电网与用电</t>
  </si>
  <si>
    <t>配电设备与运维智能化</t>
  </si>
  <si>
    <t>1.基于云边协同的配电网拓扑快速精准辨识技术研究
2.计及柔性资源灵活调节的配电网拓扑优化技术研究
3.计及柔性资源紧急支撑的配电网故障重构与供电恢复技术研究
4.配电网云边协同的拓扑辨识与优化终端研制及示范应用</t>
  </si>
  <si>
    <t>14/14</t>
  </si>
  <si>
    <t>G03030205</t>
  </si>
  <si>
    <t>电网扰动下分布式源荷百毫秒级主动平衡与紧急控制关键技术及应用</t>
  </si>
  <si>
    <t>1.扰动场景下的区域配电网紧急控制安全边界评估技术研究
2.面向电网扰动快速响应的分布式源荷聚合主动平衡特性及动态支撑能力量化方法研究
3.分布式源荷百毫秒级紧急控制技术研究及装置研制
4.分布式源荷聚合支撑调控技术研究及系统研发</t>
  </si>
  <si>
    <t>G03020105</t>
  </si>
  <si>
    <t>支撑电网友好互动的城镇区域微能网分布式协同技术与应用</t>
  </si>
  <si>
    <t>供需互动与智慧用能</t>
  </si>
  <si>
    <t>1.城镇区域微能网冷-热-电多能耦合供能成本建模与多能互济技术研究
2.市场环境下微能网多主体分布式协同与自平衡优化技术研究
3.城镇区域微能网与电网友好互动技术研究
4.支撑电网友好互动的城镇区域微能网分布式协同技术示范应用</t>
  </si>
  <si>
    <t>G03050206</t>
  </si>
  <si>
    <t>电机工程学会提报需求。对应康重庆《如何实现新型电力系统中海量灵活资源虚拟电厂的聚合互动与常态化运营》，课题经费50万。加上任务制项目分摊20万，共计给学会70万。</t>
  </si>
  <si>
    <t>面向电网随机扰动的多元用电设备抗扰防脱网关键技术研究</t>
  </si>
  <si>
    <t>1.计及敏感装置动态响应的电压暂降影响解析模型研究
2.考虑多元用户敏感装置集群受扰的电压暂降连锁扰动风险诊断技术研究
3.基于用户侧重要设备抗扰能力提升的差异化防脱网策略研究
4.用户侧电压暂降差异化防脱网与治理指标验证平台研发及示范应用</t>
  </si>
  <si>
    <t>G03040405</t>
  </si>
  <si>
    <t>面向源网荷储一体化项目的配电网规划及投资策略研究</t>
  </si>
  <si>
    <t>配电系统规划</t>
  </si>
  <si>
    <t>1.市场环境下源网荷储一体化发展形态及场景构建技术研究
2.“市场-运行-规划”融合的源网荷储一体化项目资源配置与接入技术研究
3.面向源网荷储一体化项目的电网投资效益测算与回收策略研究
4.面向源网荷储一体化项目的配电网规划辅助决策平台开发与实证应用</t>
  </si>
  <si>
    <t>G03010105</t>
  </si>
  <si>
    <t>含构网型V2G的光储充一体化场站支撑区域电网黑启动关键技术研究与验证</t>
  </si>
  <si>
    <t>1.构网型V2G支撑区域电网黑启动的仿真校核技术要求研究
2.支撑区域电网黑启动的V2G构网控制策略及场站协调控制技术研究
3.含构网型V2G场站支撑黑启动的硬件在环全流程仿真技术研究
4.基于含构网型V2G光储充一体化场站的黑启动技术验证</t>
  </si>
  <si>
    <t>12/14</t>
  </si>
  <si>
    <t>G03040304</t>
  </si>
  <si>
    <t>面向多类型源荷的新型配电系统风险防控技术及示范</t>
  </si>
  <si>
    <t>有源配电网安全高效运行</t>
  </si>
  <si>
    <t>1.多层级配电系统复杂时变条件下源荷建模与风险仿真技术研究
2.面向风险防控的配电系统智能辅助决策提升技术研究
3.面向灾害场景的多种应急电源协同并机与恢复供电技术研究
4.面向多类型源荷的新型配电系统风险防控系统研发及示范应用</t>
  </si>
  <si>
    <t>G03020206</t>
  </si>
  <si>
    <t>基于终端量测的配电开关缺陷辨识及处置决策技术研究与应用</t>
  </si>
  <si>
    <t>1.考虑终端最小化量测的配电开关典型性能劣化机理与缺陷表征技术研究
2.计及劣化机理和量测数据的配电开关运行状态评估与优化技术研究
3.基于数据-模型驱动的配电开关典型缺陷智能预警算法研究
4.面向数据赋能的配电开关隐患一体化处置辅助决策微服务开发与应用验证</t>
  </si>
  <si>
    <t>13/14</t>
  </si>
  <si>
    <t>G03030601</t>
  </si>
  <si>
    <t>高比例新能源弱电网下电气化铁路柔性供电规划组网与协同调控技术</t>
  </si>
  <si>
    <t>1.源网柔储车多资源协同的柔性供电规划组网技术研究
2.电网-牵引网多资源协同调控技术研究
3.电气化铁路柔性多端口供电装备主动控制技术研究
4.多资源协同调控系统及柔性供电模拟装置研发</t>
  </si>
  <si>
    <t>G03010104</t>
  </si>
  <si>
    <t>面向智能运维的配电设备全息可靠性分析技术与应用</t>
  </si>
  <si>
    <t>1.面向状态多维感知的配电设备空间建模与智能感知终端无线充能方法研究
2.基于组网式无源物联的配电设备监测与定位技术研究
3.面向配电网多场景作业的可穿戴空地孪生互动交互技术研究
4.面向智能运维的配电设备全息可靠性应用平台研发与示范</t>
  </si>
  <si>
    <t>11/14</t>
  </si>
  <si>
    <t xml:space="preserve">G03030602 </t>
  </si>
  <si>
    <t>大型城市配电网高阻致火故障电气火灾主动防御关键技术及应用</t>
  </si>
  <si>
    <t>1.大型城市中低压配电网致火接地故障建模与演变机理研究
2.故障电流宽频带、高精度全息感知测量技术研究
3.基于暂态波形分析与人工智能算法的配电网潜伏性故障预警技术研究
4.中低压配电网致火故障保护及主动消弧技术研究及示范应用</t>
  </si>
  <si>
    <t>10/14</t>
  </si>
  <si>
    <t>G03020203</t>
  </si>
  <si>
    <t>面向无人驾驶的车站网互动时空智能预测调度关键技术研究及示范</t>
  </si>
  <si>
    <t>1.多领域无人驾驶车辆自组织特性挖掘及预测技术研究
2.无人驾驶电动汽车可编程移动储能潜力挖掘与表征方法研究
3.面向无人驾驶的“车-车队-站-网”多主体动态博弈均衡的协同调度技术研究
4.无人驾驶与电网协同的复杂场景仿真生成技术及应用示范</t>
  </si>
  <si>
    <t>G03040306</t>
  </si>
  <si>
    <t>配电网工程设计可研初设方案多模态智能生成技术研究与示范</t>
  </si>
  <si>
    <t>1.因果推断驱动的配电网设计知识库自主演化与认知增强技术研究
2.基于主动式智能体推演的配电网可研方案生成及诊断技术研究
3.配电网工程初设方案多智能体协作生成及自驱式校验技术研究
4.配电网工程可研初设自主决策技术验证与应用</t>
  </si>
  <si>
    <t>G03010306</t>
  </si>
  <si>
    <t>面向快速故障恢复的高灵活微电网群协同控制关键技术研究</t>
  </si>
  <si>
    <t>1.高比例新能源接入下微电网群扰动、故障运行状态特性辨识技术研究
2.分布式组网与互联功率控制的微电网群灵活运行技术研究
3.应急资源协同控制的微电网群快速故障隔离与分布式供电恢复技术研究
4.适应高比例新能源接入的微电网群故障恢复控制技术研究与示范应用</t>
  </si>
  <si>
    <t>G03050105</t>
  </si>
  <si>
    <t>多模态自适应的分布式资源集群同步化支撑协同控制技术</t>
  </si>
  <si>
    <t>1.考虑有限量测的可变拓扑集群多模态自适应建模技术研究
2.计及多模态运行安全的分布式资源集群同步化聚合动态可行域评估技术研究
3.异构资源主导的分布式资源集群频率－惯量主动同步化支撑控制技术研究
4.分布式资源集群同步化支撑协同控制装置研发与示范应用</t>
  </si>
  <si>
    <t>G03020104</t>
  </si>
  <si>
    <t>基于大模型迁移学习的电网雷击风险预测提升技术研究</t>
  </si>
  <si>
    <t>施工防灾</t>
  </si>
  <si>
    <t>防灾</t>
  </si>
  <si>
    <t>1.电网雷电灾害数据集构建与数据质量控制技术研究
2.基于气象大模型的电网雷电灾害预测专用模型迁移训练方法研究
3.融合人工智能与大气物理特征的电网雷电灾害预测性能提升及量化评价方法研究
4.电网雷电灾害风险人工智能预测平台研发与试点应用</t>
  </si>
  <si>
    <t>G04050102</t>
  </si>
  <si>
    <t>面向山区架空线路施工的柔性外骨骼机器人技术研究</t>
  </si>
  <si>
    <t>施工</t>
  </si>
  <si>
    <t>1.山区线路施工外骨骼柔性传感技术研究
2.山区线路施工外骨骼人机协同控制技术研究
3.山区线路施工柔性外骨骼机器人研制
4.山区线路施工柔性外骨骼机器人试验研究</t>
  </si>
  <si>
    <t>G04040302</t>
  </si>
  <si>
    <t>电网廊道大型珍稀涉禽活动热点识别与防护关键技术研究</t>
  </si>
  <si>
    <t>环保</t>
  </si>
  <si>
    <t>1.电网廊道珍稀涉禽活动热点分布与误撞风险研究
2.输电廊道应对珍稀涉禽误撞差异化防护技术研究
3.新型防护装置研发及应用效能评估技术研究
4.珍稀涉禽防护技术与装置示范应用</t>
  </si>
  <si>
    <t xml:space="preserve">G04060204  </t>
  </si>
  <si>
    <t>面向三跨施工的跨越塔专用横担及悬索封网监测技术研究</t>
  </si>
  <si>
    <t>1.悬索式跨越架在导线发生事故状态下的受冲击载荷研究
2.考虑冲击效应的专用跨越塔横担设计研究
3.基于跨越塔加强辅助横担的悬索封网技术研究
4.数字化智能封网系统构建及断线响应控制机制研究</t>
  </si>
  <si>
    <t>G04030403</t>
  </si>
  <si>
    <t>山区悬索架空输电线路设计及施工技术研究</t>
  </si>
  <si>
    <t>设计</t>
  </si>
  <si>
    <t>1.山区悬索架空输电线路设计技术研究
2.山区悬索架空输电线路主缆锚塔及锚碇技术研究
3.山区悬索架空输电线路施工技术研究
4.悬索架空输电线路设计系统研发及工程示范</t>
  </si>
  <si>
    <t>G04040101</t>
  </si>
  <si>
    <t>考虑工业负荷特性的电网台风致灾易损性量化与协同防御技术研究</t>
  </si>
  <si>
    <t>1.强台风多致灾因子对工业密集区供电影响的综合评估方法研究
2.考虑工业负荷特性及应灾能力的台风致灾易损性量化计算方法研究
3.基于电网多元可调应急资源的多阶段协同防御方法研究
4.融合多元资源的电力保供支撑终端与辅助决策系统研发及应用</t>
  </si>
  <si>
    <t>G04050401</t>
  </si>
  <si>
    <t>浙江大学提报需求。浙江公司牵头，浙大负责人丁一，支持经费798万元。</t>
  </si>
  <si>
    <t>输电线路防高坠人因管控技术研究</t>
  </si>
  <si>
    <t>1.输电线路高处作业岗位人员本质承载力评估与精准劳动组织技术研究
2.输电线路高处作业疲劳风险量化分级与主动控制技术研究
3.输电线路防高坠人因管控装备系统开发及其应用研究</t>
  </si>
  <si>
    <t>G04060207</t>
  </si>
  <si>
    <t>基于铁路检修车的跨越高速铁路防护装备研究</t>
  </si>
  <si>
    <t>1.基于铁路检修车的跨越防护装备技术方案研究
2.跨越装备多工况系列化数字样机模型研究
3.跨越装备控制系统与实时监测技术研究
4.跨越装备样机研制与跨越高铁施工工艺方法研究</t>
  </si>
  <si>
    <t>G04030401</t>
  </si>
  <si>
    <t>特高压输电线路柔性防舞技术及装备研究</t>
  </si>
  <si>
    <t>1.复杂气候环境下特高压线路气动响应特性及阻尼耗能防舞措施研究
2.特高压线路复杂气候环境下高耗能电涡流阻尼器优化设计
3.高耗能型阻尼防舞装备研制与应用</t>
  </si>
  <si>
    <t>与2024年第一批基础研究任务制《架空线路耦联体系舞动多源随机激励影响机理及自适应柔性防护方法》，比对相似度约16.3%</t>
  </si>
  <si>
    <t>G04050303</t>
  </si>
  <si>
    <t>高海拔大高差峡谷风特性及低风载输电线路研究</t>
  </si>
  <si>
    <t>1.高海拔大高差峡谷输电线路杆塔及导地线风荷载设计参数研究
2.高海拔大高差峡谷多分裂大截面导线抗风优化技术研究
3.高海拔大高差峡谷杆塔结构抗风优化设计技术研究</t>
  </si>
  <si>
    <t>与2021年指南《高海拔输电线路风荷载特性及杆塔结构优化研究》，比对相似度约18.8%</t>
  </si>
  <si>
    <t>G04040102</t>
  </si>
  <si>
    <t>轻便高效模块化勘探钻机及随钻地质特性评价技术研究</t>
  </si>
  <si>
    <t>1.适用不同岩土地层的系列工程地质钻探机械研制
2.地层结构和岩土类型识别及随钻测试技术研究
3.岩体力学参数随钻测试与推演技术及系统开发</t>
  </si>
  <si>
    <t>G04010203
G04010204</t>
  </si>
  <si>
    <t>复杂山区电力施工用吨级飞艇运输关键技术研究</t>
  </si>
  <si>
    <t>1.山区电力施工用吨级运载飞艇结构设计技术研究
2.山区电力施工用吨级运载飞艇动力及姿态控制技术研究
3.山区电力施工用吨级运载飞艇数字化运输控制系统及运输技术研究</t>
  </si>
  <si>
    <t xml:space="preserve">G04030102 </t>
  </si>
  <si>
    <t>耐热导线协同配网不停电融冰关键技术研究</t>
  </si>
  <si>
    <t>1.研发配网不停电融冰用小截面高通流耐热导线；
2.研究耐热导线协同配网不停电融冰系统结构与参数优化设计；
3.研制配网不停电融冰轻量化装备。</t>
  </si>
  <si>
    <t>适应新能源灵活并网的220kV~500kV变电站超规模改建设计关键技术研究</t>
  </si>
  <si>
    <t>1.220kV~500kV变电站超规模扩建主要设备及导体优化选型关键技术研究
2.变电站新老构架连接加固及土建设施融合性技术研究
3.变电站停电过渡方案优化及评价体系研究</t>
  </si>
  <si>
    <t>8/14</t>
  </si>
  <si>
    <t>G04040204</t>
  </si>
  <si>
    <t>输电线路工程建设典型场景主动安全监测预警技术研究及应用</t>
  </si>
  <si>
    <t>1.线路工程典型场景安全管控要素感知技术研究
2.线路工程典型场景安全管控要素动态分析技术研究
3.线路工程典型场景安全管控关键要素耦合及智能预警技术研究
4.线路工程典型场景安全管控智能体研发及应用</t>
  </si>
  <si>
    <t>G04030404
G04030406</t>
  </si>
  <si>
    <t>基于110千伏及以上架空交流输电线路电磁场的复杂地质电磁探测技术研究</t>
  </si>
  <si>
    <t>1.架空输电线路电磁场特征分析与参数精准获取技术研究
2.考虑架空交流输电线路特征的电磁响应正演算法研发
3.架空交流输电线路电磁场驱动的地下电性结构精细反演技术研究</t>
  </si>
  <si>
    <t>G04020101</t>
  </si>
  <si>
    <t>新型电力系统宽频谐波下变压器失效特性及防控技术研究</t>
  </si>
  <si>
    <t>装备性能提升</t>
  </si>
  <si>
    <t>输变电设备性能与可靠性提升</t>
  </si>
  <si>
    <t>1.新型电力系统宽频谐波的产生机理与传递特性研究
2.宽频谐波下变压器多物理场应力分布特性研究
3.宽频谐波下变压器劣化与典型故障形成机理研究
4.耐宽频谐波变压器的复杂应力调控与性能提升技术研究
5.适用于宽频谐波工况的变压器性能检测与评价方法研究及应用</t>
  </si>
  <si>
    <t>G05010201</t>
  </si>
  <si>
    <t>变电主设备局部放电的调控量子检测机理及特性研究</t>
  </si>
  <si>
    <t>智能运检</t>
  </si>
  <si>
    <t>公司各单位</t>
  </si>
  <si>
    <t>1.调控量子变电主设备局放检测机理研究
2.基于调控量子的变压器局部放电检测关键技术
3.基于调控量子的GIS局部放电高灵敏宽频检测技术研究
4.调控量子变电主设备局部放电检测应用可行性验证</t>
  </si>
  <si>
    <t>G05060303</t>
  </si>
  <si>
    <t>远海风电集群送出多端异构新型换流关键技术研究</t>
  </si>
  <si>
    <t>高压直流装备</t>
  </si>
  <si>
    <t>1.远海风电不控-全控混合换流直流输电系统异构换流拓扑构建技术与器件评估方法
2.具有跟/构网型风机适应能力的不控-全控混合换流直流输电系统协同控制技术
3.具有跟/构网型风机适应能力的不控-全控混合换流直流输电系统交流侧低电压穿越技术
4.远海风电不控-全控混合换流输电系统直流故障可靠清除技术
5.远海风电经不控-全控混合换流输电送出系统动模研制与关键技术验证</t>
  </si>
  <si>
    <t xml:space="preserve">G05030208 </t>
  </si>
  <si>
    <t>超高压电缆接头绝缘失效机制与故障防御关键技术研究</t>
  </si>
  <si>
    <t>1.500kV电缆接头典型缺陷演变与绝缘失效机制研究
2.500kV电缆接头产品质量检测及评价技术研究
3.在运500kV电缆接头绝缘状态参量特性与感知监测技术研究
4.500kV电缆接头运行状态评价及故障早期预警技术研究</t>
  </si>
  <si>
    <t xml:space="preserve">G05050204 </t>
  </si>
  <si>
    <t>适用于广域分布式新能源汇集送出的GW级多端口换流装备拓扑及运行机理研究</t>
  </si>
  <si>
    <t>1.适用于广域分布式新能源汇集送出的GW级多端口换流装备拓扑研究
2.GW级多端口换流装备运行机理及控制保护技术研究
3.多端口换流装备原理样机研制及试验技术研究</t>
  </si>
  <si>
    <t>G05030201</t>
  </si>
  <si>
    <t>适应新型电力系统的主动支撑型特高压直流关键技术研究</t>
  </si>
  <si>
    <t>1.特高压直流换流站多场景差异化支撑需求及量化评估指标研究
2.主动支撑型特高压直流换流站多目标综合控制方法研究
3.主动支撑型特高压大容量直流换流器功率器件及模块化超容设计研究
4.主动支撑型特高压直流输电系统参数设计与换流器样机研制</t>
  </si>
  <si>
    <t>G05020501</t>
  </si>
  <si>
    <t>特高压多源换相直流输电关键技术研究</t>
  </si>
  <si>
    <t>1.特高压多源换相拓扑及系统构建技术
2.特高压多源换相系统交直流故障穿越技术
3.适应弱联网与孤岛接入的特高压多源换相系统主动支撑技术
4.特高压多源换相系统机电解析建模与实时数字仿真平台构建研究</t>
  </si>
  <si>
    <t>G05020502</t>
  </si>
  <si>
    <t>特高压油浸式设备典型故障的瓦斯继电器可靠性提升与试验考核关键技术研究</t>
  </si>
  <si>
    <t>1.特高压大型充油设备瓦斯保护动作仿真关键技术研究
2.特高压大型充油设备高可靠瓦斯继电器样机研制
3.特高压大型充油设备瓦斯继电器试验考核技术研究
4.特高压大型充油设备瓦斯继电器主动振动抑制技术研究</t>
  </si>
  <si>
    <t>G05020108</t>
  </si>
  <si>
    <t>300℃级超耐热高强铝合金导线及金具的研制及应用</t>
  </si>
  <si>
    <t>1.300℃级超耐热高强铝合金导体材料研制
2.300℃级超耐热高强钢芯铝合金绞线生产工艺研究
3.300℃级超耐热高强钢芯铝合金绞线配套金具研制
4.300℃级超耐热高强铝合金导线及金具示范应用</t>
  </si>
  <si>
    <t>G05020401</t>
  </si>
  <si>
    <t>输电线路重要交跨智能化运维及其抵御极端突发工况韧性提升方法研究</t>
  </si>
  <si>
    <t>1.重要交跨缺陷智能识别和模型迭代技术研究
2.重要交跨健康状态关键特征量监测技术研究
3.极端突发工况下重要交跨风险状态评估方法研究
4.重要交跨抵御极端突发工况的韧性提升技术研究</t>
  </si>
  <si>
    <t xml:space="preserve">G05010107 </t>
  </si>
  <si>
    <t>城市电网分区交流柔性互联技术及新型装备研究</t>
  </si>
  <si>
    <t>柔性交流装备</t>
  </si>
  <si>
    <t>1.城市电网分区交流柔性互联系统建模分析及多工况运行控制技术研究
2.适用于分区柔性互联的交交换流拓扑与控制研究
3.分区交流柔性互联装置样机研制技术研究
4.面向220kV城市电网分区柔性互联的工程应用技术研究</t>
  </si>
  <si>
    <t>G05030207</t>
  </si>
  <si>
    <t>基于静止功率补偿装置的电网换相换流站构网化技术研究</t>
  </si>
  <si>
    <t>1.换流站静止功率补偿装置拓扑结构及参数选型研究
2.换流站静止功率补偿装置协同控制技术研究
3.换流站静止功率补偿装置故障特性研究
4.换流站静止功率补偿装置构网性能研究</t>
  </si>
  <si>
    <t>G05020504</t>
  </si>
  <si>
    <t>1000千伏GIS绝缘拉杆高灵敏主动激励出厂试验关键技术与装备</t>
  </si>
  <si>
    <t>1.特高压绝缘拉杆微缺陷研究
2.特高压绝缘拉杆陡脉冲激励高灵敏综合局部放电检测技术研究
3.特高压绝缘拉杆X射线辐射激励高灵敏综合局部放电检测技术研究
4.特高压绝缘拉杆缺陷高灵敏局部放电检测出厂试验装置研制与示范应用</t>
  </si>
  <si>
    <t>G05010304</t>
  </si>
  <si>
    <t>子模块电容电压波动开关周期平抑的模块化多电平SiC换流装备研究</t>
  </si>
  <si>
    <t>1.模块化多电平换流器电容电压波动开关周期平抑机理研究
2.基于碳化硅器件的子模块单周期调制技术研究
3.基于碳化硅器件的模块化多电平单周期换流阀级控制方法研究
4.基于碳化硅器件的模块化多电平单周期换流器原理样机研制</t>
  </si>
  <si>
    <t>G05030104</t>
  </si>
  <si>
    <t>750kV低残压避雷器关键技术及装备研制</t>
  </si>
  <si>
    <t>1.低残压、大容量氧化锌电阻片研制
2.750kV低残压避雷器样机研制
3.基于低残压避雷器的750kV系统操作过电压抑制措施优化研究</t>
  </si>
  <si>
    <t>G05020404</t>
  </si>
  <si>
    <t>高压有源振荡直流断路器关键技术研究</t>
  </si>
  <si>
    <t>1.高压有源振荡直流断路器拓扑与动作策略
2.高压有源振荡直流断路器暂态应力调控与参数协同设计
3.高压有源振荡直流断路器集成设计及样机研制</t>
  </si>
  <si>
    <t>与2022年指南《高压直流断路器组合开断关键技术及样机研制》，比对相似度约8.3%</t>
  </si>
  <si>
    <t>G05030204</t>
  </si>
  <si>
    <t>66kV电力电子型全功率补偿关键技术研究与样机研制</t>
  </si>
  <si>
    <t>1.对标同步调相机的电力电子型全功率补偿装置系统模型研究
2.66kV电力电子型全功率补偿装置换流阀段样机研制
3.电力电子型全功率补偿装置控制器样机研制及测试研究
4.含交直流侧动态交互过程的高压换流阀全工况实测技术研究</t>
  </si>
  <si>
    <t>G05030101</t>
  </si>
  <si>
    <t>特高压柔性直流系统高频干扰特性与主动抑制关键技术研究</t>
  </si>
  <si>
    <t>1.特高压柔直换流系统时变拓扑及多尺度等效电路建模方法研究
2.特高压柔直系统无线电干扰传播规律与预测方法研究
3.特高压柔直系统传导干扰特性及容性设备运行边界评估研究
4.特高压柔直系统高频干扰特性主动防御及自适应抑制方法研究</t>
  </si>
  <si>
    <t>G05010208</t>
  </si>
  <si>
    <t>超特高压变压器、GIS设备智能监测及自主运检关键技术研究</t>
  </si>
  <si>
    <t>1.超特高压变压器、GIS设备非稳态缺陷状态量表征技术研究
2.超特高压变压器一体化监测与多级预警技术研究
3.超特高压GIS设备非稳态绝缘缺陷监测与动态预警技术研究
4.变压器、GIS设备缺陷自主运检可行性研究</t>
  </si>
  <si>
    <t xml:space="preserve">G05050402 </t>
  </si>
  <si>
    <t>大规模新能源直流系统拓扑构建与源-网-直协同稳定提升技术研究</t>
  </si>
  <si>
    <t>1.LCC-MMC级联型直流换流装备拓扑优化与控制策略研究
2.LCC-MMC级联型直流并网下的主动支撑型装备协同稳定性机理与优化布点方法研究
3.LCC-MMC级联型直流送端源网直协同稳定控制与故障穿越策略研究</t>
  </si>
  <si>
    <t>/</t>
  </si>
  <si>
    <t>浙江大学提报需求。新疆公司牵头，浙大负责人徐政、黄莹，支持经费1055万元。</t>
  </si>
  <si>
    <t>环保气体绝缘金属封闭高压直流开关关键技术及装备</t>
  </si>
  <si>
    <t>1.环保气体直流绝缘放电机理与增强技术研究
2.±550kV环保直流GIS关键功能部件研制
3.±550kV环保直流GIS集成设计与运维技术研究</t>
  </si>
  <si>
    <t>G05020204</t>
  </si>
  <si>
    <t>550kV及以上断路器用国产化均压电容器关键材料研究</t>
  </si>
  <si>
    <t>材料器件支撑</t>
  </si>
  <si>
    <t>材料</t>
  </si>
  <si>
    <t>1.面向新型电力系统需求的电工新材料研究
2.550kV及以上断路器用均压电容器工况分析及失效机制研究
3.陶瓷电容器用低损耗陶瓷介质材料及制备技术研究
4.油浸式电容器用关键材料及制备技术研究
5.新型均压电容器的研制及试验评估分析</t>
  </si>
  <si>
    <t>G06010302</t>
  </si>
  <si>
    <t>电机工程学会提报需求。对应韩钰《面向新型电力系统需求的电工新材料研究》，课题经费50万。加上任务制项目分摊20万，共计给学会70万。</t>
  </si>
  <si>
    <t>6.5kV碳化硅MOSFET芯片关键技术研究</t>
  </si>
  <si>
    <t>器件</t>
  </si>
  <si>
    <t>1.大电流6.5kV碳化硅MOSFET芯片设计与工艺技术研究
2.高压碳化硅MOSFET芯片极限特性提升技术研究
3.高压碳化硅MOSFET芯片失效分析与可靠性加固技术研究</t>
  </si>
  <si>
    <t>G06060107</t>
  </si>
  <si>
    <t>±200kV变压器纸板类绝缘件用国内针叶木浆制备与应用技术研究</t>
  </si>
  <si>
    <t>1.国内针叶木绝缘浆原料选型技术研究
2.国内针叶木绝缘浆的制备工艺技术研究
3.国内针叶木浆纸板类绝缘件的研制与验证技术研究</t>
  </si>
  <si>
    <t>G06010402</t>
  </si>
  <si>
    <t>国产EBA树脂研制及110kV电缆半导电屏蔽材料制备应用</t>
  </si>
  <si>
    <t>1.110kV电缆半导电屏蔽料用EBA树脂性能及表征方法研究
2.110kV电缆半导电屏蔽料用EBA树脂规模化合成制备技术研究
3.基于国产EBA树脂110kV半导电屏蔽材料制备工艺研究
4.国产EBA的110kV半导电屏蔽材料成缆特性与应用研究</t>
  </si>
  <si>
    <t>G06010103</t>
  </si>
  <si>
    <t>±320kV干式电抗器用绝缘薄膜材料开发及关键技术研究</t>
  </si>
  <si>
    <t xml:space="preserve">1.电抗器匝间高性能聚酰亚胺绝缘膜分子结构设计与制备研究
2.电抗器匝间绝缘复合体系界面强化技术与成型工艺研究
3.电抗器匝间绝缘复合体系性能评价与应用研究
</t>
  </si>
  <si>
    <t>G06040301</t>
  </si>
  <si>
    <t>大功率器件有机硅灌封材料自主化关键技术研究</t>
  </si>
  <si>
    <t xml:space="preserve">1.大功率器件有机硅灌封材料热-力-电性能协同提升机理研究
2.大功率器件有机硅灌封材料自主化开发研究
3.自主化开发的有机硅灌封材料在大功率器件上的应用评价
</t>
  </si>
  <si>
    <t>G06060203</t>
  </si>
  <si>
    <t>基于微珠的玄武岩纤维复合材料研究及其在模块化桁架塔的应用</t>
  </si>
  <si>
    <t>1.玄武岩纤维增强复合材料开发及工艺研究
2.轻质高性能复合材料构件开发、连接节点设计及性能评价
3.模块化组合式轻质复合材料桁架塔设计、研制及试点应用</t>
  </si>
  <si>
    <t>G06030101</t>
  </si>
  <si>
    <t>低热阻碳化硅器件应用技术研究及示范</t>
  </si>
  <si>
    <t xml:space="preserve">1.高通流能力碳化硅MOSFET芯片设计技术研究
2.碳化硅高激活注入工艺及芯片制备技术研究
3.低热阻大电流碳化硅器件封装设计及制备技术研究
4.2300V/600A碳化硅器件可靠性试验及应用验证
</t>
  </si>
  <si>
    <t>北京智慧能源研究院提报需求</t>
  </si>
  <si>
    <t>G06060105</t>
  </si>
  <si>
    <t>北京智慧能源研究院提报需求，支持经费3534万元，系统内单位200万元</t>
  </si>
  <si>
    <t>12kV碳化硅MOSFET器件绝缘及电场调控关键技术研究</t>
  </si>
  <si>
    <t>1.高压碳化硅变掺杂及缺陷控制技术研究
2.12kV碳化硅MOSFET结构设计技术研究
3.12kV碳化硅MOSFET芯片栅源隔离层电荷调制及芯片研制
4.12kV/300A碳化硅MOSFET器件研制与性能评估</t>
  </si>
  <si>
    <t>G06060106</t>
  </si>
  <si>
    <t>北京智慧能源研究院提报需求，支持经费3718万元，系统内单位200万元</t>
  </si>
  <si>
    <t>500千伏直流海底电缆绝缘及屏蔽材料关键技术研究</t>
  </si>
  <si>
    <t>1.超高压直流海缆绝缘材料多组分性能调控及批量化制备技术研究
2.超高压直流海缆屏蔽材料抗焦烧及批量化制备技术研究
3.国产料500kV直流海缆大长度挤出稳定性控制技术研究</t>
  </si>
  <si>
    <t>G06010107</t>
  </si>
  <si>
    <t>北京智慧能源研究院提报需求，支持经费3630万元，系统内单位200万元</t>
  </si>
  <si>
    <t>具备嵌入式均流监测功能的压接型IGBT器件关键技术研究</t>
  </si>
  <si>
    <t>1.集成式压接芯片电流测量方法及均流监测系统研制
2.均流感知型压接IGBT器件研制及测试技术
3.均流感知型换流阀子模块样机研制与应用验证</t>
  </si>
  <si>
    <t>G06040204</t>
  </si>
  <si>
    <t>3300V高电流耐受碳化硅器件关键技术研究及应用</t>
  </si>
  <si>
    <t>1.30微米碳化硅外延材料缺陷控制机理及材料生长
2.3300V碳化硅芯片性能调控方法及芯片研制
3.高电流耐受3300V/500A碳化硅器件封装技术及器件研制
4.3300V/500A碳化硅器件驱动设计及应用验证</t>
  </si>
  <si>
    <t>G06060103</t>
  </si>
  <si>
    <t>北京智慧能源研究院提报需求，支持经费3706万元，系统内单位200万元</t>
  </si>
  <si>
    <t>高灵敏金刚石NV色心量子材料及量子电流测量装置研制</t>
  </si>
  <si>
    <t>1.高灵敏金刚石NV色心量子材料调控机制及制备技术研究
2.高灵敏金刚石NV色心量子材料结构及性能评价技术研究
3.基于金刚石NV色心材料的量子电流测量原理研究与装置研制</t>
  </si>
  <si>
    <t>G06020105</t>
  </si>
  <si>
    <t>架空导线用新型自适应防覆冰材料开发及应用</t>
  </si>
  <si>
    <t>1.架空导线用新型自适应防覆冰材料抗结冰机制研究
2.架空导线用新型自适应防覆冰涂层材料设计与性能优化研究
3.新型防覆冰涂层材料的环境适应性验证与应用</t>
  </si>
  <si>
    <t>G06030403</t>
  </si>
  <si>
    <t>植物基浸渍剂电容器关键技术研究及样机研制</t>
  </si>
  <si>
    <t>1.植物基浸渍剂分子设计及性能调控技术研究
2.植物基浸渍剂制备工艺技术研究
3.植物基浸渍剂服役特性及绝缘复合体系性能研究
4.植物基浸渍剂电力电容器单元研制</t>
  </si>
  <si>
    <t>G06040201</t>
  </si>
  <si>
    <t>高压IGBT功率模块高过载能力多级协同优化关键技术</t>
  </si>
  <si>
    <t>1.高过载器件失效机理与增强过载耐受能力的器件设计
2.耐高温界面互连工艺与低热阻封装材料开发
3.高效液冷-热容协同的器件过载能力提升机理研究</t>
  </si>
  <si>
    <t>G06050304</t>
  </si>
  <si>
    <t>浙江大学提报需求。浙江公司牵头，浙大负责人吴赞，支持经费950万元。</t>
  </si>
  <si>
    <t>考虑SDH网络平滑演进的电力细粒度光传送网(fgOTN)关键技术研究及应用</t>
  </si>
  <si>
    <t>数智化赋能</t>
  </si>
  <si>
    <t>通信与芯片</t>
  </si>
  <si>
    <t>1.电力光传输网平滑演进技术路径与组网模式研究
2.fgOTN承载电网生产控制业务的保护自愈技术研究
3.SDH与fgOTN混合组网下统一管控技术研究
4.电力fgOTN设备模型设计、样机研发与示范应用</t>
  </si>
  <si>
    <t>G07020101</t>
  </si>
  <si>
    <t>面向电网运行的人工智能模型准入评估技术及应用</t>
  </si>
  <si>
    <t>人工智能</t>
  </si>
  <si>
    <t>1.电网运行人工智能模型分类分级准入评估体系研究
2.电网运行领域的准入数据集构建方法研究
3.计及不确定性的电网运行人工智能模型安全准入评估方法与指标体系研究
4.电网运行领域人工智能模型安全准入评估工具构建技术研究
5.电网运行领域人工智能模型评估现场适配及示范应用</t>
  </si>
  <si>
    <t>G07040202</t>
  </si>
  <si>
    <t>电机工程学会提报需求。对应蒲天骄《如何实现人工智能大模型在电力系统关键领域的安全可信应用》，课题经费100万。加上任务制项目分摊20万，共计给学会120万。</t>
  </si>
  <si>
    <t>知识驱动的科创管理智能辅助决策技术及示范应用</t>
  </si>
  <si>
    <t>1.多源异构科技数据解析与知识建模技术研究
2.基于图检索增强的科研要素推理技术研究
3.基于混合粒度知识表征的科技制度智能问答技术研究
4.科创管理智能辅助决策智能体构建及应用</t>
  </si>
  <si>
    <t xml:space="preserve">G07030401 </t>
  </si>
  <si>
    <t>维持878万的支持强度，支持科技2.0开发</t>
  </si>
  <si>
    <t>支撑电网安全稳定运行的动态参量协同测量关键技术研究及应用</t>
  </si>
  <si>
    <t>传感与量测</t>
  </si>
  <si>
    <t>1.“双高”电力系统动态参量测量失真机理与协同评估方法研究。
2.物理约束-数据驱动融合的惯量、阻尼监测技术研究。
3.复杂场景下电网动态参量高精度测量技术与装置研制。
4.跨区域多层级系统动态参量校准与数据融合技术研究。
5.支撑电网安全稳定运行的动态参量多层级协同测量平台研究及工程验证。</t>
  </si>
  <si>
    <t>G07010301</t>
  </si>
  <si>
    <t>自主可控电力专用网络安全防护基础平台关键技术研究</t>
  </si>
  <si>
    <t>信息与网络安全</t>
  </si>
  <si>
    <t>1.场景自适应的全栈国产化可重构安全计算平台技术研究
2.符合信息流无干扰模型的安全协议栈技术研究
3.基于密码原语映射的安全可信控制交互技术研究
4.基于基础平台的新一代电力物联网安全接入网关研制与示范验证</t>
  </si>
  <si>
    <t>G07060203</t>
  </si>
  <si>
    <t>基于电力大模型的网络安全攻防对抗技术研究</t>
  </si>
  <si>
    <t>1.电力网络安全基座大模型构建及多智能体协同调度技术研究
2.基于智能体的网络攻击渗透测试技术研究
3.基于异构数据融合的网络威胁情报关联挖掘技术研究
4.电力数据间接泄露风险主动探测技术研究</t>
  </si>
  <si>
    <t>G07060405</t>
  </si>
  <si>
    <t>变电站空地具身巡检关键技术及应用</t>
  </si>
  <si>
    <t>1.变电站的空间智能体自主连接、动态重构与实时协同技术研究
2.面向变电站具身巡检的动态网络安全防护技术研究
3.变电站空间智能与具身巡检自主导航技术研究
4.变电站具身协同智能巡检技术研究及示范应用</t>
  </si>
  <si>
    <t>G07040302</t>
  </si>
  <si>
    <t>支撑电网数字孪生高质量业务的通信网架构及光通信可靠性关键技术研究</t>
  </si>
  <si>
    <t>1.面向电网数字孪生采算控需求的通信网络架构研究
2.大容量与超长距光传输抗偏振态扰动技术研究
3.配电无源光网络高隔离共网传输技术研究
4.配电光通信数智化管控平台研发与示范应用</t>
  </si>
  <si>
    <t>G07020103</t>
  </si>
  <si>
    <t>配网架空线路缠绕式光缆及自动化施工作业关键技术研究</t>
  </si>
  <si>
    <t>1.配网光纤通信中缠绕式光缆及金具附件的关键技术
2.复杂环境下配网线路光缆自动缠绕施工机器人关键技术研究与应用
3.配电线路场景下缠绕式光缆工程设计技术研究
4.配网缠绕式光缆及施工机器人示范应用</t>
  </si>
  <si>
    <t>G07020107</t>
  </si>
  <si>
    <t>电力多模态网络关键技术研究及应用验证</t>
  </si>
  <si>
    <t>1.电力业务资源需求表征与多模态网络架构研究
2.面向电力业务的“业务-模态”映射技术研究
3.电力多模态网络“通信-计算”资源感知与联合调度技术研究
4.电力多模态网络示范应用</t>
  </si>
  <si>
    <t>G07020303</t>
  </si>
  <si>
    <t>面向电力物联网营配业务的云边协同智能安全分析技术研究</t>
  </si>
  <si>
    <t>1.电力物联专有工控协议交互与信息物理融合业务攻击机理分析
2.电力物联涉控终端可信状态动态监测与智能评估技术研究
3.电力物联网恶意交互行为与营配业务信息物理融合攻击智能安全分析感知技术研究
4.电力物联网营配业务云边协同安全分析原型系统研制与验证技术研究</t>
  </si>
  <si>
    <t>G07060101</t>
  </si>
  <si>
    <t>面向可调节负荷快速自主调控的一体化内置式微纳电气量传感及同步感知技术研究</t>
  </si>
  <si>
    <t>1.面向可调节负荷精准感知的一体化内置式微纳电气量传感器件及制备技术研究
2.面向可调节负荷同步感知与快速自主调控的智能断路器及边缘协同感知装置研制
3.区域可调节负荷用电透明感知及快速自主调控技术研究
4.可调节负荷资源同步感知与快速自主调控示范</t>
  </si>
  <si>
    <t>G07010201</t>
  </si>
  <si>
    <t>面向电力监控系统的网络攻击诱捕与溯源技术研究</t>
  </si>
  <si>
    <t>1.面向电力监控系统网络攻击的设陷诱捕技术研究
2.复杂攻击行为关联分析技术研究
3.自适应伏击载荷投递与追踪溯源技术研究
4.攻击诱捕与溯源原型系统研制及试点应用</t>
  </si>
  <si>
    <t>G07060403</t>
  </si>
  <si>
    <t>支撑高渗透率分布式光伏就地消纳的省域算力与电力高效协同关键技术研究</t>
  </si>
  <si>
    <t>1.省域算力与绿色电力协同互动形态及技术体系研究
2.省域算力负荷与分布式光伏出力联合控制技术研究
3.基于计算任务调度的算力负荷灵活响应技术研究
4.省级算网资源能耗控制与时空调度原型系统研发及应用</t>
  </si>
  <si>
    <t>12/16</t>
  </si>
  <si>
    <t>G07020302</t>
  </si>
  <si>
    <t>面向电力预测的跨模态信息理解与知识融合关键技术研究与验证</t>
  </si>
  <si>
    <t>1.电力领域多模态信息理解与表征技术研究
2.跨模态信息融合与关联建模技术研究
3.多模态信息增强的电力预测预训练建模技术研究
4.跨模态信息融合的电力预测系统开发与验证</t>
  </si>
  <si>
    <t>G07050101、G07050102</t>
  </si>
  <si>
    <t>电能表及采集终端数智化质量检测关键技术及系统研究</t>
  </si>
  <si>
    <t>1.兼容多类型电表及终端的质量检测装置数智化关键技术研究
2.适用于数智化质量检测系统的计量数据元模型构建及数字证书技术研究
3.数智化质量检测系统在线核查及智能运维技术研究
4.适用于数智化质量检测系统的智能调控关键技术研究</t>
  </si>
  <si>
    <t>G07010305</t>
  </si>
  <si>
    <t>面向分布式光伏的物理域安全漏洞分析与防护关键技术研究</t>
  </si>
  <si>
    <t>1.分布式光伏物理域安全漏洞与攻击机理研究
2.多源数据和思维链驱动的攻击感知研究
3.基于攻击信号检测阻断和容错控制的攻击防御研究
4.分布式光伏物理域安全分析与防护应用验证</t>
  </si>
  <si>
    <t>10/16</t>
  </si>
  <si>
    <t>G07060103</t>
  </si>
  <si>
    <t>浙江大学提报需求，不满足指南发布条件。浙大潘锴锴，徐文渊团队。</t>
  </si>
  <si>
    <t>农村配电网与农业系统绿色低碳协同发展路径及国际标准化研究</t>
  </si>
  <si>
    <t>政策与技术经济</t>
  </si>
  <si>
    <t>技术标准</t>
  </si>
  <si>
    <t>1.低碳目标对农村配电网的影响机制及其运行特征研究
2.农村配电网低碳转型轨迹下农业电气化负荷排放特征研究
3.农村配电网低碳评价体系与国际标准化研究</t>
  </si>
  <si>
    <t>7/7</t>
  </si>
  <si>
    <t>指南排序调整，按照分数排序</t>
  </si>
  <si>
    <t>特高压及智能量测领域标准海外输出成熟度评价体系研究与应用</t>
  </si>
  <si>
    <t>1.特高压及智能量测领域标准海外适用性及“走出去”路径研究
2.特高压及智能量测领域标准海外输出成熟度评价指标体系研究
3.特高压及智能量测领域标准海外输出成熟度评价应用</t>
  </si>
  <si>
    <t>电力碳预算分解优化技术研究</t>
  </si>
  <si>
    <t>电碳协同与技术经济</t>
  </si>
  <si>
    <t>1.省级年度碳预算行业分解技术研究
2.省级电力碳预算时序分解技术研究
3.考虑省间减排责任分担的电力碳预算双层迭代分解优化技术研究
4.省级电力碳预算分解优化软件开发及应用</t>
  </si>
  <si>
    <t>G08030103</t>
  </si>
  <si>
    <t>适应新能源入市的电力系统规划机理与关键技术研究</t>
  </si>
  <si>
    <t>能源战略</t>
  </si>
  <si>
    <t>1.面向市场机制的新能源投资行为建模与决策响应机制研究
2.新能源全面入市背景下电力系统规划机理与资源结构演化路径研究
3.多机制协同下电力系统资源优化配置模型与规划方法研究
4.市场机制嵌入式电力系统规划决策分析软件开发与验证</t>
  </si>
  <si>
    <t>G08040105</t>
  </si>
  <si>
    <t>新型电力系统惯量演化趋势及辅助服务市场机制研究</t>
  </si>
  <si>
    <t>电力经济与电力市场</t>
  </si>
  <si>
    <t>1.我国电力系统惯量演化趋势及惯量支撑资源优化配置方法研究
2.高比例新能源电力系统用户侧资源惯量支撑发展路径设计
3.高比例新能源电力系统惯量辅助服务市场机制研究</t>
  </si>
  <si>
    <t>G08040104</t>
  </si>
  <si>
    <t>新能源全面入市下新型电力市场机制优化设计与验证技术</t>
  </si>
  <si>
    <t>1.新能源全面入市背景下电力市场模式与规划研究
2.沙戈荒基地参与系统多时间尺度调节的市场机制与关键技术研究
3.分布式新能源分阶段参与电力市场路径设计与关键技术研究
4.支撑新能源入市的电力交易仿真推演技术与软件研发</t>
  </si>
  <si>
    <t>G08040102</t>
  </si>
  <si>
    <t>服务电网调节和支撑能力的规模化储能价值刻画关键技术及兑现机制研究</t>
  </si>
  <si>
    <t>1.规模化储能服务电网调节和支撑能力的多维度价值刻画技术研究
2.服务多层级电网的规模化储能协同优化运营技术研究
3.考虑规模化储能多重价值兑现的市场机制和价格补偿机制优化技术
4.规模化储能优化运营分析软件开发及价值分析实证研究</t>
  </si>
  <si>
    <t>G08040101</t>
  </si>
  <si>
    <t>原创技术策源能力测度模型构建、关键因素识别及提升策略决策支撑技术研究</t>
  </si>
  <si>
    <t>1.原创技术策源能力复合指数建模理论和量化评估技术
2.原创技术策源能力关键影响因素、作用机理和动态演变路径技术
3.原创技术策源地建设诊断评估及目标路径优化辅助决策技术</t>
  </si>
  <si>
    <t>G08050204</t>
  </si>
  <si>
    <t>源网荷储协同评估与激励相容治理政策设计技术研究</t>
  </si>
  <si>
    <t>1.新型电力系统源网荷储多维协同发展效能评估模型构建技术研究
2.源网荷储主体多层级动态博弈关系刻画与建模技术研究
3.源网荷储激励相容机制设计和治理政策生成技术研究
4.源网荷储协同评估与治理政策仿真推演技术研究</t>
  </si>
  <si>
    <t>G08010402</t>
  </si>
  <si>
    <t>面向主配微电网互动的多环节资源功能推演与协同布局技术研究</t>
  </si>
  <si>
    <t>1.主配微多主体多时间尺度互动机理研究
2.主配微电网多环节资源功能推演模型研究
3.面向主配微互动的源网荷储协同布局技术研究
4.高性能主配微多主体互动运行推演仿真系统研发</t>
  </si>
  <si>
    <t>G08010301</t>
  </si>
  <si>
    <t>多模态大模型驱动的经济与能源电力需求预测技术研究</t>
  </si>
  <si>
    <t>1.多模态数据驱动的经济电力时空协同模拟预测技术研究
2.基于多模态数据的全要素能源需求预测技术研究
3.融合多模态数据的新型电力系统电力需求预测技术研究
4.基于多模态大模型的经济与能源电力需求预测软件模块开发与应用</t>
  </si>
  <si>
    <t>G08020106</t>
  </si>
  <si>
    <t>新能源耦合碳捕集联合系统并网及协同控制技术</t>
  </si>
  <si>
    <t>1.新能源耦合碳捕集联合系统多时间尺度作用机理与运行特性研究
2.新能源耦合碳捕集联合系统电-碳耦合全工况建模与仿真技术研究
3.新能源耦合碳捕集联合系统并网适配性规划与资源协同配置技术研究
4.计及不确定性的新能源耦合碳捕集联合系统协同运行机制研究</t>
  </si>
  <si>
    <t>G08030105</t>
  </si>
  <si>
    <t>立项指南合计</t>
  </si>
  <si>
    <t>公司2026年总部科技项目指南评审结果及发布清单</t>
  </si>
  <si>
    <t>项目总经费（万元）</t>
  </si>
  <si>
    <t>其中，出资单位研发人工成本（万元）</t>
  </si>
  <si>
    <t>001</t>
  </si>
  <si>
    <t>提升系统频率自愈能力的双馈风电低穿有功重建关键技术研究与实证</t>
  </si>
  <si>
    <t>新能源运行控制</t>
  </si>
  <si>
    <t>分部、省级电力公司</t>
  </si>
  <si>
    <t>1.大规模双馈风电接入电网低频自愈能力关键因素及耦合机理研究
2.提升双馈风电有功恢复速率的传动链响应性能优化研究
3.提升双馈风电有功恢复速率的主控及变流器策略优化研究
4.双馈风电机组有功快速恢复实证及新能源集群故障穿越特性分析</t>
  </si>
  <si>
    <t>002</t>
  </si>
  <si>
    <t>新能源跟/构网融合控制与动态性能提升技术研究及验证</t>
  </si>
  <si>
    <t>1.新能源机组多目标并网特性矛盾机理分析与综合评估方法
2.新能源机组融合控制及融合度优化配置技术研究
3.基于机组融合控制的新能源场站动态性能提升技术研究
4.新能源跟/构网融合控制系统开发及验证</t>
  </si>
  <si>
    <t>003</t>
  </si>
  <si>
    <t>高低空气象要素垂直关系挖掘与新能源资源预报协同研究应用</t>
  </si>
  <si>
    <t>1.新能源场站气象监测与垂直廓线观测数据体系构建
2.新能源区域高低空气象特征及数值模式垂直误差机理分析
3.基于垂直误差特征的数值模式垂直方向同化与订正
4.基于垂直同化增强的新能源资源高精度预报与业务示范</t>
  </si>
  <si>
    <t>004</t>
  </si>
  <si>
    <t>考虑频率演化特征的新能源“机-场”协同频率支撑技术研究</t>
  </si>
  <si>
    <t>1.新能源调频与暂态控制性能对新能源高占比电网频率特性的影响
2.优化电网频率特性的多类型资源灵活协同调频控制技术研究
3.新能源场站故障穿越与频率支撑全过程协同控制技术研究
4.新能源“机-场”协同调频控制技术实证与应用</t>
  </si>
  <si>
    <t>005</t>
  </si>
  <si>
    <t>基于全工况仿真与实验数据的海上风电机组并网特性智能优化技术</t>
  </si>
  <si>
    <t>1.海上风电领域高质量思维链数据集构建技术研究
2.基于大模型协同的海上风电机组并网特性多维优化技术研究
3.海上风电机组并网特性智能优化平台集成技术研究</t>
  </si>
  <si>
    <t>006</t>
  </si>
  <si>
    <t>分布式光伏发电集群等值建模技术研究</t>
  </si>
  <si>
    <t>1.高渗透率分布式光伏接入对系统暂态特性影响研究
2.分布式光伏暂态控制策略及参数优化技术研究
3.考虑多种暂态控制特性分布式光伏单机建模及实测验证技术
4.分布式光伏集群等值建模及参数聚合技术研究</t>
  </si>
  <si>
    <t>007</t>
  </si>
  <si>
    <t>大范围降雪天气预报与光伏功率预测优化技术</t>
  </si>
  <si>
    <t>1.降雪天气下的光伏发电影响机理研究
2.区域降雪天气过程诊断模拟及预报技术研究
3.考虑降雪天气过程影响的光伏功率预测方法研究及应用</t>
  </si>
  <si>
    <t>008</t>
  </si>
  <si>
    <t>新能源经柔直孤岛送出系统多主体协同构网控制技术及应用</t>
  </si>
  <si>
    <t>1.新能源经柔直孤岛送出系统多主体协同构网方案研究
2.孤岛方式下柔直送端新能源跟/构网配比与耗能配置研究
3.新能源与柔直协同构网优化控制技术研究
4.新能源与柔直协同构网控制样机研发及应用</t>
  </si>
  <si>
    <t>009</t>
  </si>
  <si>
    <t>支撑电网稳定的构/跟网混合型风储电站协同运行技术研究</t>
  </si>
  <si>
    <t>1.面向差异配置模式的风储电站多机稳定机理分析与构网方式优化技术
2.计及构/跟网控制异构特征的风储电站频率-惯量协同控制与支撑能力评估技术
3.面向电网支撑需求的风储电站无功电压动态协调控制技术
4.面向构/跟网混合型风储电站的电网友好支撑控制系统研发与实证应用</t>
  </si>
  <si>
    <t>010</t>
  </si>
  <si>
    <t>影响输电线路的强风天气识别预报技术研究与应用</t>
  </si>
  <si>
    <t>1.全球变暖背景下风场时空分布与演变规律研究
2.地面.卫星等多元数据融合的网格化风场监测技术研究
3.输电线路强风等级划分.预测技术研究与应用</t>
  </si>
  <si>
    <t>011</t>
  </si>
  <si>
    <t>全电量入市背景下光储协同优化配置及平衡风险评估技术</t>
  </si>
  <si>
    <t>1.面向电力市场的光储协同配置需求及配置方法研究
2.光储协同场站量价申报策略研究
3.考虑光储协同的系统平衡风险评估技术研究
4.光储协同配置及交易决策推演系统与电网平衡风险评估系统研发</t>
  </si>
  <si>
    <t>012</t>
  </si>
  <si>
    <t>大规模风电并网特性多维评价与主动支撑性能优化关键技术研究</t>
  </si>
  <si>
    <t>1.风电并网特性交互耦合机理与综合评价方法
2.风电场主动支撑参数可行域量化表征与快速评估技术
3.计及参数可行域的风电场频率与电压主动支撑协同控制技术研究
4.风电场频率与电压主动支撑优化控制系统研发与平台验证</t>
  </si>
  <si>
    <t>013</t>
  </si>
  <si>
    <t>基于电磁前端调速的风电机组并网特性提升与试验技术</t>
  </si>
  <si>
    <t>1.基于电磁前端调速的风电机组功率传输和并网运行控制技术
2.基于电磁前端调速的风电机组暂态电压/频率支撑控制技术
3.基于电磁前端调速的风电机组并网试验实证技术</t>
  </si>
  <si>
    <t>014</t>
  </si>
  <si>
    <t>数据-物理混合驱动的省级电网电力气象大模型预报技术研究</t>
  </si>
  <si>
    <t>1.省级电网电力气象大模型建模数据集构建技术
2.省级电网电力气象大模型物理机理嵌入方法
3.电力气象大模型的跨省协同轻量化预报技术</t>
  </si>
  <si>
    <t>015</t>
  </si>
  <si>
    <t>深远海风电直流汇集外送实证系统关键技术研究</t>
  </si>
  <si>
    <t>1.海上风电直流汇集外送等效实证系统拓扑构建技术研究
2.面向典型工况场景的直流汇集外送实证系统控保策略研究
3.直流汇集外送实证系统控保样机研制与实时仿真研究
4.直流汇集外送实证系统集成设计与试验技术研究</t>
  </si>
  <si>
    <t>016</t>
  </si>
  <si>
    <t>面向新能源消纳与电力保供的水电调峰能力在线量化评估与提升技术研究</t>
  </si>
  <si>
    <t>水电与抽蓄优化运行</t>
  </si>
  <si>
    <t>1.考虑水力-电力复杂耦合水电机组-流域-通道调峰能力在线量化评估和动态推演技术研究
2.面向新能源消纳与电力保供的水电调峰能力提升技术研究
3.促进清洁能源消纳和电力保供的水电调峰能力市场价值和机制研究
4.水电调峰能力动态评估及推演平台模块研发</t>
  </si>
  <si>
    <t>017</t>
  </si>
  <si>
    <t>适应电网调节需求的抽蓄机组调相运行健康管理关键技术研究</t>
  </si>
  <si>
    <t>1.耦合“双高”电网需求的抽蓄机组多工况动态无功调节能力研究
2.抽蓄机组多工况调相运行健康状态评估技术研究
3.基于健康度约束的多抽蓄机组无功协同控制技术研究
4.抽蓄机组无功调节健康管理系统集成与示范应用</t>
  </si>
  <si>
    <t>018</t>
  </si>
  <si>
    <t>分布式小水电对电网灵活调节能力提升技术研究</t>
  </si>
  <si>
    <t>1.多场景小水电改造优化设计技术研究
2.小水电库坝安全评估与低成本补强加固技术研究
3.小水电改造机组及涉网性能提升技术研究
4.小水电改造标准研究及应用示范</t>
  </si>
  <si>
    <t>019</t>
  </si>
  <si>
    <t>基于电网规划与遥感地理信息的抽水蓄能电站智能选址关键技术研究</t>
  </si>
  <si>
    <t>1.区域电网抽水蓄能需求规模分析技术研究
2.多源空间数据融合与抽水蓄能站址智能辅助筛查技术研究
3.多约束条件下抽水蓄能站址资源智能综合评价与寻优技术研究</t>
  </si>
  <si>
    <t>020</t>
  </si>
  <si>
    <t>统一电力市场环境下抽水蓄能电站灵活调节价值量化与评估</t>
  </si>
  <si>
    <t>1.抽水蓄能多时间尺度需求评估方法及多类型电源调节能力差异化研究
2.抽水蓄能多功能耦合冲突量化与协同决策研究
3.抽水蓄能电站优化运营策略与成本分摊.补偿机制研究
4.抽水蓄能灵活调节价值参与电力市场策略研究与应用</t>
  </si>
  <si>
    <t>021</t>
  </si>
  <si>
    <t>面向电网调节的高海拔环境抽蓄机组定子绝缘可靠性评估技术研究</t>
  </si>
  <si>
    <t>1.高海拔环境下抽蓄发电电动机定子绝缘多场耦合与退化机制研究
2.高海拔环境下抽蓄发电电动机定子绝缘状态评估技术研究
3.高海拔环境下抽蓄发电电动机定子绝缘性能等效试验研究</t>
  </si>
  <si>
    <t>022</t>
  </si>
  <si>
    <t>提升电力系统调节能力的抽蓄电站群协同调控技术研究</t>
  </si>
  <si>
    <t>1.面向新能源大基地调节能力提升需求的抽水蓄能机组多维支撑控制技术
2.抽水蓄能电站群动态调节特性分析与精细化建模技术
3.考虑新能源大基地多维支撑需求的抽蓄电站群调度模式及控制方法
4.新能源大基地抽水蓄能电站群协同调控与评价技术</t>
  </si>
  <si>
    <t>023</t>
  </si>
  <si>
    <t>面向电网调节需求的混合式抽蓄协同优化控制技术研究</t>
  </si>
  <si>
    <t>1.多类型混合式抽水蓄能电站对电力系统运行影响机理与选型优化技术研究
2.混合式抽水蓄能电站机组多尺度交互影响机理与协同控制技术研究
3.面向长周期储能的混合式抽水蓄能电站水库协同调度与运行优化技术研究
4.多目标协同的混合式抽水蓄能电站智能成组控制技术研究</t>
  </si>
  <si>
    <t>024</t>
  </si>
  <si>
    <t>复杂电网工况下电化学储能性能劣化与系统安全增强技术研究</t>
  </si>
  <si>
    <t>储能及其并网控制</t>
  </si>
  <si>
    <t>1.新能源高占比系统多类型电气激励特征提取及传递机制研究
2.复杂电气激励下电化学储能电池系统性能衰退及安全劣化机制研究
3.复杂电气激励下电化学储能系统风险辨识与量化评估技术研究
4.复杂电气激励下电化学储能安全性提升技术及实证</t>
  </si>
  <si>
    <t>025</t>
  </si>
  <si>
    <t>面向电网应用的大容量锂离子电池特性等效试验与建模技术研究</t>
  </si>
  <si>
    <t>1.大容量锂离子储能电池多应力等效试验技术研究
2.大容量锂离子储能电池内外特性耦合建模研究
3.大容量锂离子储能电池特性动态模拟技术研究</t>
  </si>
  <si>
    <t>026</t>
  </si>
  <si>
    <t>省域储能电站状态在线监测与涉网性能评价技术研究及应用</t>
  </si>
  <si>
    <t>1.省域范围储能电站多维数据采集与关键指标提取
2.面向多应用需求的储能电站涉网性能评价技术
3.省域储能电站集群的涉网性能提升技术
4.省域储能电站运行状态与涉网性能在线监测评价系统研发与示范</t>
  </si>
  <si>
    <t>027</t>
  </si>
  <si>
    <t>计及电力交易的新能源制氢优化运行技术研究及应用</t>
  </si>
  <si>
    <t>1.计及能效与动态性能的多类型电解制氢调节可行域评估
2.柔性制氢整站协同管理与互动调节能力提升技术
3.计及多类型电力交易的可再生能源制氢优化运行决策研究
4.面向电力市场的制氢调节能力评估与优化运行决策平台样机开发与试验应用</t>
  </si>
  <si>
    <t>028</t>
  </si>
  <si>
    <t>模块化级联分布式储能及其县域薄弱电网稳定支撑关键技术</t>
  </si>
  <si>
    <t>1.面向县域电网稳定性提升的模块化储能动态匹配技术
2.高海拔模块化储能级联拓扑与灵活重组技术
3.模块化级联储能系统智能管理与协同控制技术
4.面向高海拔县域电网的模块化储能示范应用及验证</t>
  </si>
  <si>
    <t>029</t>
  </si>
  <si>
    <t>弱同步支撑送端电网多类型储能多时间尺度协同规划布局技术</t>
  </si>
  <si>
    <t>1.兼顾调节与支撑需求的多类型储能运行可行域构建技术研究
2.面向送端电网源-荷多时间尺度平衡需求的多类型储能协同配置技术研究
3.多典型场景快速调节和主动支撑型跟/构网储能协同规划布局技术研究
4.送端电网多类型储能多时间尺度协同规划平台研发</t>
  </si>
  <si>
    <t>030</t>
  </si>
  <si>
    <t>面向电网灵活调节的火电机组电熔盐储热技术与规划方法研究</t>
  </si>
  <si>
    <t>常规电源及其他</t>
  </si>
  <si>
    <t>1.电热耦合的火电机组与熔盐储热系统联合建模技术研究
2.融合“零出力”熔盐储热火电机组的电力生产运行模拟方法研究
3.提升火电机组调节能力的电熔盐储热价值评估与容量优化方法研究
4.支撑电熔盐储热火电机组协同调用与规划的决策支持平台开发</t>
  </si>
  <si>
    <t>031</t>
  </si>
  <si>
    <t>面向电网调频调峰的新一代煤电机组性能提升与评估技术研究</t>
  </si>
  <si>
    <t>1.新一代煤电机组调频调峰运行特性研究
2.新一代煤电机组调节性能提升及仿真技术研究
3.面向电网调频调峰的新一代煤电机组性能灵活运行能力提升工程示范及验证
4.新一代煤电机组调节性能及运行可靠性评估技术研究</t>
  </si>
  <si>
    <t>032</t>
  </si>
  <si>
    <t>033</t>
  </si>
  <si>
    <t>1.储能构网控制对锂电池循环寿命的影响机理及量化评估技术研究
2.锂电-超级电容直流并联的混合储能拓扑设计与容量配置技术研究
3.锂电-超级电容直流并联的混合储能交直流协同控制技术研究
4.锂电-超级电容直流并联的混合储能工程实证与综合性能评价</t>
  </si>
  <si>
    <t>034</t>
  </si>
  <si>
    <t>035</t>
  </si>
  <si>
    <t>供热机组与高比例新能源协同的电网灵活性资源规划方法与技术研究</t>
  </si>
  <si>
    <r>
      <rPr>
        <sz val="12"/>
        <rFont val="仿宋"/>
        <charset val="134"/>
      </rPr>
      <t>电网形态与规划</t>
    </r>
    <r>
      <rPr>
        <sz val="12"/>
        <color indexed="8"/>
        <rFont val="方正仿宋_GBK"/>
        <charset val="134"/>
      </rPr>
      <t xml:space="preserve"> </t>
    </r>
  </si>
  <si>
    <t>1.供热机组与高比例新能源条件下灵活性需求辨识及规划指标体系研究
2.电网灵活性分区评估与“灵活性短板空间分布图”构建方法研究
3.多元灵活性资源及网架协同的容量配置与时序规划优化研究
4.灵活性资源协同配置与决策支撑平台架构研究</t>
  </si>
  <si>
    <t>036</t>
  </si>
  <si>
    <t>配网调节能力智能评估与主配协同规划技术研究</t>
  </si>
  <si>
    <t>1.考虑配电网可调节资源潜力的配电网规划技术
2.基于主配协同的新型电力系统典型场景提取及平衡方法研究
3.统筹安全约束和调节资源的主配协同电网承载力评估方法研究
4.新型电力系统主配协同承载力提升规划技术研究</t>
  </si>
  <si>
    <t>037</t>
  </si>
  <si>
    <t>提升新型电网承载力的构网型装备支撑能力评估及规划运行关键技术研究</t>
  </si>
  <si>
    <t>1.构网型装备对新型枢纽电网稳定性影响机理分析
2.构网型装备控制性能提升与协同优化控制技术
3.新型枢纽电网构网型装备支撑能力量化评估及装备优化配置技术
4.新型枢纽电网构网型装备配置与控制优化工具研发</t>
  </si>
  <si>
    <t>038</t>
  </si>
  <si>
    <t>适应供需高不确定性的电力电量平衡裕度分析及电网安全-经济-低碳均衡规划技术研究</t>
  </si>
  <si>
    <t>1.气象-社会-电力耦合驱动的供需不确定性影响机理研究
2.多源不确定性下的供需动态平衡方法与失衡风险量化模型研究
3.面向新型电力系统的供需失衡风险预警机制与安全-经济-低碳均衡规划方法研究
4.考虑供需高不确定性的电网规划仿真方法与试点验证</t>
  </si>
  <si>
    <t>039</t>
  </si>
  <si>
    <t>电能替代背景下新型负荷特性分析与中长期发展趋势预测技术</t>
  </si>
  <si>
    <t>1.基于联邦学习与物理知情人工智能负荷建模技术
2.电能替代对负荷变化影响特性与演化规律研究
3.计及多重不确定性因素的中长期负荷预测技术
4.支撑电网中长期规划的负荷预测模块研发与应用</t>
  </si>
  <si>
    <t>040</t>
  </si>
  <si>
    <t>大规模新能源特高压交直流并列外送系统构建关键技术与示范</t>
  </si>
  <si>
    <t>1.协同支撑送端千万千瓦级新能源稳定运行的多主体构网设备配置及优化运行技术研究
2.大规模新能源特高压交直流并列外送系统安全稳定特性与系统构建技术研究
3.大规模新能源交直流并列外送系统调度模式与运行控制技术研究
4.千万千瓦级新能源基地特高压交直流并列外送方案实证验证</t>
  </si>
  <si>
    <t>041</t>
  </si>
  <si>
    <t>计及高影响天气的多直流送受一体电网广域充裕性评估与跨区通道协同智能规划技术研究</t>
  </si>
  <si>
    <t>1.计及高影响天气的多直流送受一体电网广域充裕性评估及跨区互济能力分析技术研究
2.考虑高影响天气的多直流送受一体电网规划场景智能生成与关键特征辨识技术研究
3.面向多直流送受一体电网的跨区通道与调节资源协同规划及优化配置技术研究
4.多直流送受一体电网智能规划决策的可解释性分析与实例验证研究</t>
  </si>
  <si>
    <t>042</t>
  </si>
  <si>
    <t>知识引导下的电网安全稳定边界刻画与预防控制技术研究及应用</t>
  </si>
  <si>
    <t>系统安全稳定与运行</t>
  </si>
  <si>
    <t>1.基于混合智能的电网运行方式场景生成技术研究
2.基于机理和知识融合的电网稳定边界刻画及感知方法研究
3.考虑安全稳定约束下的电网预防控制及调度辅助决策技术研究
4.电网运行方式场景智能生成及调度辅助决策系统研发及应用</t>
  </si>
  <si>
    <t>043</t>
  </si>
  <si>
    <t>海上风电送出系统的电磁暂态实时仿真关键技术</t>
  </si>
  <si>
    <t xml:space="preserve">1.电机.变压器和输电线路等海上风电装备的精确仿真建模技术研究
2.海上风电场并网系统的精确高效仿真建模技术研究
3.基于国产化仿真平台的大规模海风送出系统实时仿真技术研究
</t>
  </si>
  <si>
    <t>044</t>
  </si>
  <si>
    <t>复杂方式计算策略智能生成及分析关键技术</t>
  </si>
  <si>
    <t>1.面向复杂方式计算的源-网-荷-储-市场多维不确定性量化建模技术
2.考虑源-网-荷-储-市场因素的复杂方式计算思维链及策略智能生成技术
3.面向新型电力系统多场景运行方式智能生成的多维度评价技术
4.复杂方式计算策略智能生成及分析系统架构研究与试点试验</t>
  </si>
  <si>
    <t>045</t>
  </si>
  <si>
    <t>高比例新能源电网日前-实时调频性能感知评估及调频资源优化配置方法研究</t>
  </si>
  <si>
    <t>1.高比例新能源电网的新型电力系统频率动态多维度建模技术研究
2.多元运行方式下高比例新能源电网频率安全及调频能力在线评估方法研究
3.多主体协同与多场景融合的惯量/一次调频资源日前-实时响应策略与优化配置方案研究
4.高比例新能源电网日前-实时调频性能评估及优化控制平台架构研究</t>
  </si>
  <si>
    <t>046</t>
  </si>
  <si>
    <t>水光高占比长链式弱电网多频段振荡阻尼协同优化技术及示范应用</t>
  </si>
  <si>
    <t>1.高水光占比长链式弱电网多频段振荡演化机理及阻尼迁移特性
2.应对长链式弱电网多频段振荡的阻尼协同优化技术
3.计及电网安全约束的长链式弱电网多频段振荡稳定控制技术</t>
  </si>
  <si>
    <t>047</t>
  </si>
  <si>
    <t>新能源场站快速启动在电网故障防御体系中的应用研究</t>
  </si>
  <si>
    <t>1.新能源快速启动对电网稳定的影响机理研究
2.考虑设备安全的新能源快速启动可控能力量化评估技术研究
3.应对不同故障冲击的新能源快速启动控制技术研究
4.新能源快速启动控制系统研发及实证研究</t>
  </si>
  <si>
    <t>048</t>
  </si>
  <si>
    <t>背靠背柔直互联下受端电网异质无功源电压协调支撑研究</t>
  </si>
  <si>
    <t>1.背靠背柔直互联下受端电网电压稳定形态及无功需求评估研究
2.双向潮流特性下背靠背柔直交流全电压支撑技术研究
3.背靠背柔直与异质无功源多时间尺度电压协调支撑控制方法研究
4.背靠背柔直与异质无功源电压协调控制装备研制及验证</t>
  </si>
  <si>
    <t>049</t>
  </si>
  <si>
    <t>规模化分布式电源接入下主配电网运行方式协同智能计算技术与应用研究</t>
  </si>
  <si>
    <t>1.配电网源网荷储控制参数智能辨识与自动仿真建模技术研究
2.主配电网多时间尺度运行方式智能生成技术研究
3.主配电网运行方式协同智能计算技术研究
4.主配电网运行方式协同智能计算平台架构及应用研究</t>
  </si>
  <si>
    <t>050</t>
  </si>
  <si>
    <t>支撑弱送端电网动态安全的主动防御关键技术研究</t>
  </si>
  <si>
    <t>1.多时空尺度多调节资源集成系统的态势推演与风险量化表征理论研究
2.多调节资源支撑弱送端电网的电压-频率-惯量综合安全域分析与自律协同循环调控技术研究
3.电网实时主动防御系统失稳风险的分层分区调控技术研究
4.面向弱送端电网源荷双端扰动运行风险的主动防御智能决策支持系统架构设计及应用</t>
  </si>
  <si>
    <t>051</t>
  </si>
  <si>
    <t>新能源高占比电网过电压连锁风险评估及防御技术研究</t>
  </si>
  <si>
    <t>1.高比例新能源电网过电压风险及连锁演变特性
2.抑制暂态过电压快速连锁风险的多类型动态无功设备协调控制策略研究
3.考虑稳态过电压慢速连锁风险的调度运行控制技术
4.阻断过电压连锁演变的稳定控制技术研究</t>
  </si>
  <si>
    <t>052</t>
  </si>
  <si>
    <t>极端事件下大型受端城市电网应急预案推演与优化决策技术研究</t>
  </si>
  <si>
    <t>1.大型受端城市电网极端事件致灾因素与应急资源耦合建模研究
2.大型受端城市电网极端事件场景生成及薄弱环节辨识方法研究
3.电力-交通-通信多网协同下应急预案综合评估及优化方法研究
4.面向极端事件的大型受端城市电网应急预案推演及优化决策软件体系研究</t>
  </si>
  <si>
    <t>053</t>
  </si>
  <si>
    <t>高比例新能源电网相继故障风险评估及快速阻断控制技术研究</t>
  </si>
  <si>
    <t>1.高比例新能源电网相继故障特性与失稳机理研究
2.不确定性环境下相继故障分类器与风险量化评估技术研究
3.适应相继故障快速阻断的多轮次紧急控制策略及稳控架构</t>
  </si>
  <si>
    <t>054</t>
  </si>
  <si>
    <t>SLCC直流输电系统近区交流线路继电保护适应性及新原理研究</t>
  </si>
  <si>
    <t>1.考虑SVF控制策略影响的近区交流线路故障特征研究
2.SLCC直流输电系统近区交流线路主保护适应性及新原理研究
3.SLCC直流输电系统近区交流线路后备保护适应性及新策略研究
4.SLCC直流输电系统近区交流线路保护验证技术研究</t>
  </si>
  <si>
    <t>055</t>
  </si>
  <si>
    <t>基于机理和数据驱动的线路故障智能辨识技术研究</t>
  </si>
  <si>
    <t>1.基于深度学习的录波数据智能分析技术
2.基于时序神经网络的故障智能辨识技术
3.机理和数据联合驱动的线路故障智能辨识技术
4.线路故障智能辨识系统构建技术</t>
  </si>
  <si>
    <t>056</t>
  </si>
  <si>
    <t>远海风电多形态汇集送出系统拓扑构建及暂稳态控制保护关键技术研究</t>
  </si>
  <si>
    <t>1.远海风电多形态汇集送出系统拓扑构建技术
2.多形态汇集送出系统故障暂态特性及保护方法
3.多形态汇集送出系统关键设备控保协同技术
4.多形态汇集送出系统控保样机研制及实时仿真技术</t>
  </si>
  <si>
    <t>057</t>
  </si>
  <si>
    <t>适用于弱系统的混合直流组网及系统级主动支撑协调控制技术</t>
  </si>
  <si>
    <t>1.混合直流组网方式与机电暂态建模方法研究
2.混合直流主动支撑及协调控制策略研究
3.弱电网新能源经混合直流送出系统特性及协同优化方法研究
4.混合直流全电磁暂态仿真建模及验证方法研究</t>
  </si>
  <si>
    <t>058</t>
  </si>
  <si>
    <t>可控换相换流器柔性化接入系统及控制技术</t>
  </si>
  <si>
    <t>1.主动支撑型可控换相换流器系统构建方案研究
2.主动支撑型可控换相换流器控制策略研究
3.主动支撑型可控换相换流器接入下交流主网安全稳定性分析
4.主动支撑型可控换相换流器系统数字物理混合仿真试验技术</t>
  </si>
  <si>
    <t>059</t>
  </si>
  <si>
    <t>双向枢纽型高比例电力电子大电网电压安全智能增强主动防控技术</t>
  </si>
  <si>
    <t>1.高度电力电子化大电网仿真测试系统及典型场景构建
2.双向枢纽型电网电压安全稳定智能增强评估方法研究
3.提升大电网电压安全稳定性的协同支撑技术研究
4.双向枢纽型高比例电力电子大电网电压安全稳定实时主动防控技术及系统研发</t>
  </si>
  <si>
    <t>060</t>
  </si>
  <si>
    <t>多源不确定性风险交织下的区域电网黑启动动态决策与推演关键技术研究</t>
  </si>
  <si>
    <t>1.系统大面积停电后黑启动关键节点特性分析与在线参数建模
2.考虑恢复灵活性.抗扰坚强性.满足负荷中心恢复高优先的黑启动分区动态优化技术
3.多源不确定性信息滚动更新下的黑启动路径智能调整技术
4.黑启动资源特性与网络拓扑结构在线监控与主动预警系统</t>
  </si>
  <si>
    <t>061</t>
  </si>
  <si>
    <t>复杂气象条件下概率化平衡风险预警及多时序智能预决策技术研究与应用</t>
  </si>
  <si>
    <t>1.复杂气象条件下源荷波动对省级电网电力平衡的影响研究
2.适用于复杂气象演变过程的随机优化方法及供需失衡概率化风险评估技术研究
3.应对复杂气象条件下电力失衡风险的周.日前.日内多时序智能辅助决策技术研究
4.电网供需失衡预警及智能辅助决策应用研发与验证应用</t>
  </si>
  <si>
    <t>062</t>
  </si>
  <si>
    <t>基于认知控制架构的主配协同风险推演与优化决策关键技术研究及应用</t>
  </si>
  <si>
    <t>1.基于认知控制驱动的主配协同调度智能中枢架构研究
2.融合电气特征与概率推演的地区电网链式风险评估与韧性调控关键技术研究
3.“安全-市场”双约束下主配协同优化决策技术研究
4.基于认知控制架构的主配一体化地区电网智能调控系统研发与试点验证</t>
  </si>
  <si>
    <t>063</t>
  </si>
  <si>
    <t>基于边缘计算的电力系统振荡协同监测技术研究与应用</t>
  </si>
  <si>
    <t>1.宽频振荡监测边缘计算模式及多层级协同机制研究
2.基于边缘计算的宽频振荡多参量辨识技术研究
3.宽频振荡边缘计算综合分析与数据交互技术研究
4.宽频数据集中器样机研制与主站协同软件模块研发</t>
  </si>
  <si>
    <t>064</t>
  </si>
  <si>
    <t>省级电网源荷预测误差溯源与修正技术研究</t>
  </si>
  <si>
    <t>1.典型调度场景下源荷预测误差的可解释归因方法研究
2.基于多源量测的源荷预测误差趋势推演方法研究
3.基于电网实时量测的源荷超短期预测修正技术研究
4.省级电网源荷功率超短期预测修正软件研究</t>
  </si>
  <si>
    <t>065</t>
  </si>
  <si>
    <t>应对工况变化场景失配的大规模电网机组组合图优化求解关键技术研究</t>
  </si>
  <si>
    <t>1.面向拓扑变化.负荷陡变等多工况场景的图神经网络动态建模技术
2.考虑隐式规则挖掘与嵌入的机组组合多优化目标权重自适应分配机制研究
3.融合智能增强启发式加速求解技术与图深度学习的时序优化方法研究
4.应对动态工况场景失配的知识嵌入动态图神经网络大规模优化求解原型软件研发与验证</t>
  </si>
  <si>
    <t>066</t>
  </si>
  <si>
    <t>面向新型电力系统的中长期交易安全校核及平衡分析关键技术研究</t>
  </si>
  <si>
    <t>1.考虑源荷不确定性与省间交易的电网中长期运行场景构建技术研究
2.中长期多运行场景下可行性机组组合高效求解技术研究
3.面向省间中长期交易安全校核的高性能潮流技术及其软件架构研究
4.基于中长期多运行场景的电网中长期平衡分析技术及其软件架构研究</t>
  </si>
  <si>
    <t>067</t>
  </si>
  <si>
    <t>基于GPU-CPU异构算子协同优化的电力现货市场智能高效求解技术研究</t>
  </si>
  <si>
    <t>1.新型电力系统复杂运行规则约束的紧凑化重构技术研究
2.适配复杂约束下深度学习驱动的优化模型预处理技术与寻优路径提速方法研究
3.GPU-CPU异构算子协同优化的大规模机组组合并行求解技术研究
4.基于国产求解器的大规模机组组合集成优化与工程验证方法研究</t>
  </si>
  <si>
    <t>068</t>
  </si>
  <si>
    <t>数智化新型智能调控基础平台关键技术研究及验证</t>
  </si>
  <si>
    <t>1.支撑调控决策人工智能模型训练的电网运行场景生成技术研究
2.电网调控运行联合推演环境构建技术研究
3.主子站协同推演与调控策略验证技术研究
4.电网调控智能决策支撑平台研发与验证</t>
  </si>
  <si>
    <t>069</t>
  </si>
  <si>
    <t>基于数据驱动的电力市场交易价格风险监测与评估关键技术</t>
  </si>
  <si>
    <t>1.电力现货集中竞价申报行为模式识别与异常检测技术研究
2.电力现货集中交易价格风险评估与量化技术研究
3.中长期与现货交易联动下的度电结算价格风险监测与评估技术研究
4.电力市场交易价格风险监测与评估系统集成技术研究及验证</t>
  </si>
  <si>
    <t>070</t>
  </si>
  <si>
    <t>省间省级市场“统一申报、协同出清”关键技术研究</t>
  </si>
  <si>
    <t>1.适应平衡模式变化的省间省级市场“统一申报.协同出清”机制研究
2.考虑全网平衡的省间省级协同优化出清模型与算法研究
3.海量市场主体参与的省间省级协同运行仿真推演技术研究
4.省间省级市场“统一申报.协同出清”交易平台出清功能开发.集成与应用</t>
  </si>
  <si>
    <t>071</t>
  </si>
  <si>
    <t>快速扰动条件下的高抗扰频率测量及控制关键技术研究与应用</t>
  </si>
  <si>
    <t>1.电力电子化电网快速扰动特性与频率定义研究
2.适应快速扰动信号的频率测量及容错算法研究
3.多场景频率及同步相量测量性能验证技术研究
4.基于高干扰算法的频率测量装置研发及应用</t>
  </si>
  <si>
    <t>072</t>
  </si>
  <si>
    <t>考虑系统调节特性的高渗透率有源配电网规划技术研究</t>
  </si>
  <si>
    <t>1.考虑成本与安全约束的系统可调能力量化分析技术研究
2.计及经济调节的新能源接纳能力分析技术研究
3.面向新能源消纳的配电网规划技术研究
4.高渗透率有源配电网规划辅助决策工具研发与应用</t>
  </si>
  <si>
    <t>073</t>
  </si>
  <si>
    <t>面向规模化低空飞行器的充电场站规划与运行关键技术研究及应用</t>
  </si>
  <si>
    <t>1.面向多样化飞行任务的异构低空飞行器负荷预测技术研究
2.低空飞行器充电场站布局与供电设施规划技术研究
3.多元场景空地一体化充电网络协同策略与双向互动技术研究
4.低空飞行器供电设施规划与电网友好型低空充电场站运行应用验证</t>
  </si>
  <si>
    <t>074</t>
  </si>
  <si>
    <t>配电系统安全经济运行域画像与网-储规划优化技术研究及示范</t>
  </si>
  <si>
    <t>1.计及主网约束与源荷波动的配电网安全经济运行域构建与边界刻画技术研究
2.域边界裕度引导的分布式资源最优接入技术研究
3.面向运行域最优的配电网规划技术研究
4.运行域分析与规划辅助决策工具研发及实证应用</t>
  </si>
  <si>
    <t>075</t>
  </si>
  <si>
    <t>高影响天气下考虑城市公共安全的配电系统韧性极限评估及增强规划技术研究</t>
  </si>
  <si>
    <t>1.以配电网为核心的城市生命线耦合系统高影响天气致灾推演仿真技术研究
2.高影响天气下考虑故障跨系统级联放大效应的城市配电网薄弱环节辨识技术研究
3.考虑公共安全影响的城市配电系统韧性极限量化评估及增强规划技术研究
4.城市配电系统韧性增强规划功能模块研发与集成示范</t>
  </si>
  <si>
    <t>076</t>
  </si>
  <si>
    <t>中压配电网工程智能设计关键技术研究及应用</t>
  </si>
  <si>
    <t>1.中压配电网工程设计知识库构建与自主演化技术研究
2.基于知识库的配电网工程自主设计技术研究
3.高致灾风险环境下配电网智能优化设计技术研究
4.中压配电网工程智能设计工具开发与示范应用</t>
  </si>
  <si>
    <t>077</t>
  </si>
  <si>
    <t>山地小水电群与分布式风光储聚合支撑配电网安全运行关键技术及应用</t>
  </si>
  <si>
    <t>有源配电网运行</t>
  </si>
  <si>
    <t>1.山地复杂环境下小水电与分布式风光储多时空尺度聚合响应建模技术研究
2.多类型小水电与分布式风光储协同支撑配电网调峰调压技术研究
3.极端灾害下小水电主导馈线分段分区功率自平衡控制技术研究
4.山地配电网协同调控关键装备研制及示范应用</t>
  </si>
  <si>
    <t>078</t>
  </si>
  <si>
    <t>城市配电系统分区协同与电压动态控制技术及应用</t>
  </si>
  <si>
    <t>1.城市配电系统分区自治协同与分层耦合互动运行控制架构研究
2.城市配电系统供电分区自治与分区间协同优化运行技术研究
3.基于供电分区内中低压高效耦合互动的电压动态控制技术研究
4.城市配电系统分区自治协同与分层耦合互动仿真验证与示范应用</t>
  </si>
  <si>
    <t>079</t>
  </si>
  <si>
    <t>分布式源荷储接入下的配微电网功率协同支撑技术研究</t>
  </si>
  <si>
    <r>
      <rPr>
        <sz val="12"/>
        <rFont val="仿宋"/>
        <charset val="134"/>
      </rPr>
      <t>1.含分布式源荷储的配微电网交互能力评估与协同优化配置研究
2.计及分布式源荷储的灵活性资源功率协同能力构建与差异化支撑机制研究
3.面向配微互动的集群分布式源荷储动态协同调控技术研究</t>
    </r>
    <r>
      <rPr>
        <sz val="12"/>
        <rFont val="仿宋"/>
        <charset val="134"/>
      </rPr>
      <t xml:space="preserve">
4.面向分布式源荷储的配微电网功率协同支撑一体化调控装置研发及示范应用</t>
    </r>
  </si>
  <si>
    <t>080</t>
  </si>
  <si>
    <t>数据-机理驱动的新型配电系统多源电能质量扰动传播分析与协同抑制技术</t>
  </si>
  <si>
    <t>1.不完备监测条件下电能质量扰动数字建模技术研究
2.数据-机理联合驱动的扰动时空耦合演化过程动态分析与追溯技术研究
3.基于数据反馈校正的复杂源荷预想工况下扰动分散自趋优协同治理技术研究
4.新型配电系统下兼顾源荷变化的扰动协同抑制关键技术示范应用</t>
  </si>
  <si>
    <t>081</t>
  </si>
  <si>
    <t>面向极端条件下偏远山区配电网的空天地通信融合勘灾与抢修技术</t>
  </si>
  <si>
    <t>1.多类型极端场景下配电网灾情边缘感知与预警技术研究
2.配电网极端条件下电气量非介入式光学监测技术研究
3.灾害场景下状态信息空天地融合与分布式资源侧回传技术研究
4.面向极端条件的配电网高可靠无线通信技术研究
5.极端条件下提升配电网系统弹性的智能协同调控技术及示范应用</t>
  </si>
  <si>
    <t>082</t>
  </si>
  <si>
    <t>多类型资源协同的薄弱配电网供电保障技术研究及装备研制</t>
  </si>
  <si>
    <t>配电设备与智能化运维</t>
  </si>
  <si>
    <r>
      <rPr>
        <sz val="12"/>
        <rFont val="仿宋"/>
        <charset val="134"/>
      </rPr>
      <t>1.含多类型分布式资源的薄弱配电网控制架构与功率平衡技术</t>
    </r>
    <r>
      <rPr>
        <sz val="12"/>
        <rFont val="仿宋"/>
        <charset val="134"/>
      </rPr>
      <t>研究
2.弱通讯条件下薄弱配电网区域自主构网与极限生存技术研究
3.基于云边协同的薄弱配电网黑启动路径优化与平稳复电技术研究
4.薄弱配电网多类型资源协同保供装置研发及示范应用</t>
    </r>
  </si>
  <si>
    <t>083</t>
  </si>
  <si>
    <t>面向配网分布式协同运行的新型配电终端灵活组态通信及互操作技术研究</t>
  </si>
  <si>
    <r>
      <rPr>
        <sz val="12"/>
        <rFont val="仿宋"/>
        <charset val="134"/>
      </rPr>
      <t>1.面向配网分布式协同运行的灵活通信组网架构研究
2.面向灵活组态新型配电终端的安全、实时、可靠传输技术研究</t>
    </r>
    <r>
      <rPr>
        <sz val="12"/>
        <rFont val="仿宋"/>
        <charset val="134"/>
      </rPr>
      <t xml:space="preserve">
3.面向即插即用与互操作的新型配电终端标准化建模技术研究
4.新型配电终端高性能通信模组及配电通道性能监测软件模块研发</t>
    </r>
  </si>
  <si>
    <t>084</t>
  </si>
  <si>
    <t>面向多业务场景的中压配电网边缘智能决策技术研究及设备研制</t>
  </si>
  <si>
    <t>1.面向多业务场景的中压配电网云端AI源模型搭建及高效训练技术研究
2.基于云端源模型的边缘侧轻量化与多业务场景自适应微调技术研究
3.轻量化AI高效嵌入的软硬件深度协同适配技术及边缘智能设备研发
4.云-边协同AI自主迭代体系研究与AI自主决策示范应用</t>
  </si>
  <si>
    <t>085</t>
  </si>
  <si>
    <t>融合多模态信息的配电网主设备隐患识别与差异化巡检技术研究</t>
  </si>
  <si>
    <t>1.配电网主设备“隐患-故障”演化模型及关键特征研究
2.基于深度学习的配电网主设备隐患智能识别算法研究
3.配电网巡检策略优化与差异化决策技术研究
4.隐患辨识终端及差异化巡检决策支撑模块研制及示范应用</t>
  </si>
  <si>
    <t>086</t>
  </si>
  <si>
    <t>基于AI的低压供电可靠性研判与动态提升决策技术及应用</t>
  </si>
  <si>
    <r>
      <rPr>
        <sz val="12"/>
        <rFont val="仿宋"/>
        <charset val="134"/>
      </rPr>
      <t>1.低压供电可靠性多源异构数据动态治理与融合技术</t>
    </r>
    <r>
      <rPr>
        <sz val="12"/>
        <rFont val="仿宋"/>
        <charset val="134"/>
      </rPr>
      <t>研究
2.融合多源数据的低压供电可靠性AI研判技术及装置研究
3.低压可靠性分析预测评估与提升路径优化技术研究
4.低压供电可靠性辅助决策系统研发及应用验证</t>
    </r>
  </si>
  <si>
    <t>087</t>
  </si>
  <si>
    <t>基于氮化镓器件的高性能低压柔性配电装备体系和关键技术研究</t>
  </si>
  <si>
    <t>1.低压配电场景驱动的高性能氮化镓器件-模组开发与多形态柔性装备体系构建
2.基于氮化镓器件的集约化柔性电能质量调控器关键技术.装备研制与应用
3.基于氮化镓器件的低损耗柔性互联开关关键技术.装备研制与应用
4.基于氮化镓器件的高效柔性供电关键技术.装备研制与应用</t>
  </si>
  <si>
    <t>088</t>
  </si>
  <si>
    <t>自主可控高散热耐高温烧蚀浇筑母线槽及成套装备研制与应用</t>
  </si>
  <si>
    <r>
      <rPr>
        <sz val="12"/>
        <rFont val="仿宋"/>
        <charset val="134"/>
      </rPr>
      <t xml:space="preserve">1.高导热自瓷化耐火绝缘浇注材料设计与制备技术研究
2.浇注母线槽多物理场耦合设计与形变抑制技术研究
</t>
    </r>
    <r>
      <rPr>
        <sz val="12"/>
        <rFont val="仿宋"/>
        <charset val="134"/>
      </rPr>
      <t>3.新型耐火浇注料一体化真空混炼浇注成型装备研究
4.新型耐火母线槽现场便捷安装、检测技术研究及示范应用</t>
    </r>
  </si>
  <si>
    <t>089</t>
  </si>
  <si>
    <t>现货市场下虚拟电厂违约风险评估与优化决策关键技术研究及应用</t>
  </si>
  <si>
    <t>1.现货市场下柔性负荷响应不确定性建模与边缘侧履约风险感知技术研究
2.数据与知识双驱动的虚拟电厂履约风险传播机理与动态评估技术研究
3.风险—激励协同的虚拟电厂多市场博弈与自适应优化决策技术研究
4.虚拟电厂运行履约风险防控系统开发及示范验证</t>
  </si>
  <si>
    <t>090</t>
  </si>
  <si>
    <t>弱电网地区电动重卡绿电消纳和应急保供关键技术及应用</t>
  </si>
  <si>
    <t>1.面向弱电网地区电动重卡集群高保障补能网络规划技术研究
2.面向源-荷-储协同运行的电动重卡补能作业关键技术研究
3.电动重卡电池快速可信测量及电动重卡构网组网成套装备研制
4.弱电网地区绿电消纳与应急保供全景决策仿真技术研究及示范</t>
  </si>
  <si>
    <t>091</t>
  </si>
  <si>
    <t>大小模型协同的多模态用电安全智能检查关键技术研究及应用</t>
  </si>
  <si>
    <t>1.小样本学习驱动的用电安全隐患风险数模协同推演与诊断引擎构建技术研究
2.基于多模态数据融合的用电安全风险模型动态优化与智能辨识方法研究
3.基于轻量化模型的便携式用电安全隐患智能检查装备研发
4.大小模型协同的用电安全诊断预警平台研发与应用</t>
  </si>
  <si>
    <t>092</t>
  </si>
  <si>
    <t>基于分布式人工智能的低碳园区集群参与电网多场景快速调节技术</t>
  </si>
  <si>
    <t>1.低碳园区集群互动架构及配网侧快速响应典型场景构建技术研究
2.计及配网设备利用率的低碳园区集群快速响应资源协调优化配置技术研究
3.基于分布式优化的低碳园区集群多智能体协同快速调控技术研究
4.低碳园区组态化人工智能终端及集群管控系统研发与应用</t>
  </si>
  <si>
    <t>093</t>
  </si>
  <si>
    <t>电动汽车充放电设施涉网安全与主动防御关键技术</t>
  </si>
  <si>
    <t>1.大型充放电场站涉网风险模型构建与运行参数实测技术研究
2.计及用户行为差异的充放电设施涉网安全量化评估与动态预警技术研究
3.基于人工智能的充放电设施主动防御与协同优化控制技术研究
4.多场景下电动汽车充放电设施涉网安全预警与防护示范应用</t>
  </si>
  <si>
    <t>094</t>
  </si>
  <si>
    <t>适应高比例电动重卡接入的“网源桩”多阶段协同规划技术与应用</t>
  </si>
  <si>
    <t>1.考虑多场景技术经济综合评估的电动重卡充换电时-空需求预测技术研究
2.电动重卡广域出行充换电多场景网-源-桩互动调节潜力评估技术及引导策略研究
3.考虑网-源-桩协同运行的电动重卡充换电站与新型配电网多阶段协同规划技术研究
4.电动重卡广域多层级柔性协同充换电设施规划与仿真平台开发</t>
  </si>
  <si>
    <t>095</t>
  </si>
  <si>
    <t>计及新质生产力用电动态演化的省级中短期售电量可解释预测技术研究</t>
  </si>
  <si>
    <t>1.新质生产力发展下省级中短期售电量特性分析与影响因素动态解析技术研究
2.考虑新质生产力动态演化的中短期售电量预测技术研究
3.中短期售电量可解释性预测与偏差识别溯源技术研究
4.计及新质生产力用电动态演化的中短期售电量可解释预测系统开发与示范应用研究</t>
  </si>
  <si>
    <t>096</t>
  </si>
  <si>
    <t>居住区无人驾驶电动汽车台区自治的自动充放电装备研制及应用</t>
  </si>
  <si>
    <t>1.规模化无人驾驶背景下居住区充电行为影响因素及自动充电装备需求研究
2.考虑车桩互操作性和主动支撑的经济高效自动充放电装备研制
3.面向台区自治的居住区无人驾驶电动汽车智能充电与协同控制技术研究
4.基于无人驾驶电动汽车的台区自治多场景互动应用验证</t>
  </si>
  <si>
    <t>097</t>
  </si>
  <si>
    <t>10kV中压直挂全能型高效充电装备与电站调控技术示范及应用</t>
  </si>
  <si>
    <t>1.10kV中压直挂充电装备高效拓扑与控制技术研究
2.面向多国际标准的电动汽车充电适配关键技术研究
3.快速响应电网经济运行和稳控需求的站-网柔性交互技术研究
4.10kV中压直挂充电装备集成技术研究与应用示范</t>
  </si>
  <si>
    <t>098</t>
  </si>
  <si>
    <t>新能源就近直连的负荷集群互动特性评估与高可靠互动关键技术</t>
  </si>
  <si>
    <t>1.绿电直连负荷集群并网接入能力与可靠性评估技术研究
2.绿电直连负荷集群市场交易决策与政策-行为动态关联研究
3.绿电直连负荷集群多元互动协同控制技术研究
4.绿电直连负荷集群高可靠互动调控系统集成.装备研制与示范应用</t>
  </si>
  <si>
    <t>099</t>
  </si>
  <si>
    <t>虚拟电厂群体在线动态智能计算和自适应控制关键技术及应用研究</t>
  </si>
  <si>
    <t>1.面向虚拟电厂互动调节事件的高维精细化感知建模技术研究
2.考虑多重不确定性的多元市场机制下虚拟电厂群在线动态聚合技术研究
3.面向虚拟电厂互动调控的偏差智能分析与自适应校正技术研究
4.考虑电网安全约束的虚拟电厂群一致性自动调节控制技术研究及应用</t>
  </si>
  <si>
    <t>100</t>
  </si>
  <si>
    <t>融合用户行为特征的电动汽车与新能源协同互动仿真关键技术研究及平台研发</t>
  </si>
  <si>
    <t>1.典型场景下融合用户行为特征的电动汽车与新能源协同仿真建模技术研究
2.多源数据驱动下以用户行为为核心的充放电动态策略仿真与调度优化技术研究
3.面向“社区-公路-城市”全场景的车网互动系统仿真推演与充电设施多目标规划技术研究
4.适配用户实际行为的车网互动仿真平台研发及验证技术研究</t>
  </si>
  <si>
    <t>101</t>
  </si>
  <si>
    <t>基于新型电力负荷管理系统的虚拟电厂市场化运营服务支撑技术及应用</t>
  </si>
  <si>
    <t>1.虚拟电厂多元异质资源调节行为分析与智能分类方法研究
2.面向虚拟电厂资源聚合与运营激励的多元电力市场套餐优化技术研究
3.适应配网电气拓扑的多市场耦合下虚拟电厂运营阻塞管理优化技术研究
4.面向多元电力市场的虚拟电厂智能运营服务支撑模块研发及示范应用</t>
  </si>
  <si>
    <t>102</t>
  </si>
  <si>
    <t>适应多主体多市场环境的电费智能结算与辅助决策关键技术研究及应用</t>
  </si>
  <si>
    <t>1.统一电力市场体系下考虑大规模新型主体的电费结算机理及规则体系研究
2.融合新型主体用电特征的知识图谱构建与电费智能结算模型研究
3.基于多智能体协同的多类型电力用户量费异常溯源与处置策略智能生成技术研究
4.多元市场环境下新型主体电费智能结算系统研发与试点应用</t>
  </si>
  <si>
    <t>103</t>
  </si>
  <si>
    <t>支撑区域运行控制优化的微能网高效综合仿真技术研究及应用</t>
  </si>
  <si>
    <t>微能网</t>
  </si>
  <si>
    <t>1.数据-机理融合的微能网电/热/燃料多工况快速建模技术研究
2.异质能流时空解耦的微能网实时仿真加速求解技术研究
3.基于硬件在环的微能网安全运行仿真与调控策略闭环修正技术研究
4.模块化高效并行计算的微能网综合仿真平台研发及应用</t>
  </si>
  <si>
    <t>104</t>
  </si>
  <si>
    <t>园区电氢耦合微能网能效提升及电网主动支撑技术研究与应用</t>
  </si>
  <si>
    <t>1.园区电氢耦合微能网能效-支撑能力-可靠性综合评估技术研究
2.园区电氢耦合微能网可靠高效运行控制技术研究
3.园区电氢耦合微能网主动支撑电网调度技术研究
4.园区电氢耦合微能网能效提升及主动支撑技术试点应用</t>
  </si>
  <si>
    <t>105</t>
  </si>
  <si>
    <t>构网型光伏微电网支撑偏远农村应急保供关键技术研究及应用</t>
  </si>
  <si>
    <t>1.多源容量协同规划与优化配置方法研究
2.多分布式构网型电源的协同与稳定运行控制技术
3.面向应急保供的构网型分布式光伏逆变器研制
4.分布式构网型光伏微电网关键装备研制.系统集成与示范应用</t>
  </si>
  <si>
    <t>106</t>
  </si>
  <si>
    <t>1.山区电力施工用吨级运载飞艇结构设计技术研究
2.山区电力施工用吨级运载飞艇动力及姿态控制技术研究
3.山区电力施工用吨级运载飞艇数字化控制及运输施工技术研究</t>
  </si>
  <si>
    <t>107</t>
  </si>
  <si>
    <t>硬岩电缆隧道井隧多工序一体化掘进装备及绿色智能建设技术研究</t>
  </si>
  <si>
    <t>1.硬岩电缆井隧结构优化设计技术研究
2.硬岩电缆井隧多工序一体化掘进施工技术研究
3.硬岩电缆井隧绿色智能建设技术研究</t>
  </si>
  <si>
    <t>108</t>
  </si>
  <si>
    <t>大雾及超视距环境无人机展放大规格导引绳施工技术研究</t>
  </si>
  <si>
    <t>1.大雾环境电力施工用无人机目标识别与控制技术研究
2.超视距多无人机协同展放导引绳技术研究
3.大规格导引绳展放配套施工机具及工艺研究</t>
  </si>
  <si>
    <t>109</t>
  </si>
  <si>
    <t>输电线路高空附件安装无人化通用平台及成套装备研究</t>
  </si>
  <si>
    <t>1.自适应多分裂导/地线的平台机构及控制技术研究
2.标准化控制接口适配和施工工艺数字化映射研究
3.基于多源感知定位技术和协同控制策略的辅助吊运系统研究</t>
  </si>
  <si>
    <t>110</t>
  </si>
  <si>
    <t>多分裂大容量间隙型导线及施工关键技术研究</t>
  </si>
  <si>
    <t>1.多分裂大容量间隙型导线优化与防振技术研究
2.多分裂大容量间隙型导线配套金具研制
3.多分裂大容量间隙型导线施工工器具研制及应用研究
4.多分裂大容量间隙型导线施工技术与工程应用研究</t>
  </si>
  <si>
    <t>111</t>
  </si>
  <si>
    <t>落地双摇臂抱杆全电动和集控吊装技术研究及应用</t>
  </si>
  <si>
    <t>1.全电动落地双摇臂抱杆功能及结构研究
2.全电动落地双摇臂抱杆施工集中控制技术研究
3.全电动落地双摇臂抱杆自动吊装技术研究
4.全电动落地双摇臂抱杆施工技术与工程应用研究</t>
  </si>
  <si>
    <t>112</t>
  </si>
  <si>
    <t>临近高压带电区域不停电机械化施工安全预警管控技术研究</t>
  </si>
  <si>
    <t>1.基于电场变化感知的机械化施工实时预警技术研究
2.大型操作机构高精度定位与动态姿态感知技术研究
3.多源信息融合的施工安全风险研判与预警算法研究
4.临近带电区域机械化施工安全预警管控体系构建与试点应用</t>
  </si>
  <si>
    <t>113</t>
  </si>
  <si>
    <t>输电线路多滑车承托式带电跨越关键技术研究</t>
  </si>
  <si>
    <t>1.多滑车承托式带电跨越专用装备设计技术研究
2.基于动力学理论的多滑车承托式装备动态构型演化仿真研究
3.导线带电跨越施工过程状态感知与协同控制技术研究
4.多滑车承托式带电跨越专用装备应用设计研究</t>
  </si>
  <si>
    <t>114</t>
  </si>
  <si>
    <t>高温干旱叠加大风下输电通道火灾演化机理与蔓延风险评估技术研究</t>
  </si>
  <si>
    <t>防灾减灾</t>
  </si>
  <si>
    <t>1.高温干旱大风下输电通道火灾危险态势演化机理与辨识技术
2.高温干旱大风下山火耦合线路异常状态诱发故障风险研判技术
3.基于大尺度过火实验的线路健康状态评估技术</t>
  </si>
  <si>
    <t>115</t>
  </si>
  <si>
    <t>高地震烈度区在运变电站电气设备抗震性能评估及提升关键技术研究</t>
  </si>
  <si>
    <t>1.基于在运站服役状态的抗震性能评估技术研究
2.在运变电站支柱类设备抗震加固改造技术研究
3.在运变电站变压器设备抗震加固改造技术研究
4.在运变电站抗震韧性评估及震后应急策略优化技术研究</t>
  </si>
  <si>
    <t>116</t>
  </si>
  <si>
    <t>特高压输电线路电涡流阻尼缓冲耗能舞动控制技术及装备研究</t>
  </si>
  <si>
    <t>1.高湿复杂环境下特高压线路阻尼耗能舞动控制模拟系统研发
2.高湿复杂环境下特高压线路高耗能电涡流阻尼器优化设计
3.高耗能型电涡流阻尼舞动控制装备研制与应用</t>
  </si>
  <si>
    <t>117</t>
  </si>
  <si>
    <t>冰风舞复合灾害下重要通道故障概率智能预警与应急处置技术研究及应用</t>
  </si>
  <si>
    <t>1.重要通道冰风舞复合灾害演进及风险态势推演技术研究
2.重要通道线路冰风舞复合灾害抵抗能力精准评价与故障概率动态预警技术研究
3.重要通道冰风舞复合灾害应急处置策略快速匹配技术研究及综合应用</t>
  </si>
  <si>
    <t>118</t>
  </si>
  <si>
    <t>高原电力工程异构地形雷电致灾预测与异质土壤参数测量技术研究</t>
  </si>
  <si>
    <t>1.高原复杂异构地形对雷电介观参数影响机理及电网多维雷电特征研究
2.融合雷电介观地形参数的高原电力工程雷击致灾预测技术研究
3.复杂异构地形区域电力工程异质土壤多频接地测量技术及装备研究
4.电力工程雷击致灾风险评估防御及工程选站选线支撑设计应用研究</t>
  </si>
  <si>
    <t>119</t>
  </si>
  <si>
    <t>输电线路高精度脱冰观测与安全防护技术研究</t>
  </si>
  <si>
    <t>1.特高压线路脱冰动力特性测试技术研究
2.高精度脱冰大幅响应特征现场观测与在线集成化监测技术研究
3.典型除冰作业中输电线路动力特性试验研究
4.复杂荷载作用下输电线路安全提升技术研究</t>
  </si>
  <si>
    <t>120</t>
  </si>
  <si>
    <t>高海拔地区输电通道雪崩灾变过程与风险演化机理研究</t>
  </si>
  <si>
    <t>1.高海拔地区积雪物理性质演化与雪崩灾变全过程机理研究
2.雪崩及气浪作用下输电工程结构响应与损伤机理研究
3.藏东南高海拔地区雪崩发育分布规律与输电通道风险演化研究</t>
  </si>
  <si>
    <t>121</t>
  </si>
  <si>
    <t>地震作用下GIS内部金属微粒特异性运动诱导的破坏机制及主动防御技术研究</t>
  </si>
  <si>
    <t>1.地震作用下金属微粒运动特性及闪络诱导机理研究
2.地震环境下金属微粒特异性运动诱导的局部放电信号检测技术研究
3.地震力与电场力耦合作用下金属微粒主动抑制与防逃逸陷阱优化技术研究
4.地震环境下GIS开关腔室金属微粒在线清除技术研究</t>
  </si>
  <si>
    <t>122</t>
  </si>
  <si>
    <t>电力设施高精度气象监测站网融合设计、量值溯源与校准检测技术研究</t>
  </si>
  <si>
    <t>1.电力设施高精度气象监测站网融合设计方法与量值溯源体系研究
2.电力气象监测要素量值传递与计量检定技术研究
3.电力气象监测装备现场校准与检测技术研究
4.电力气象监测站网计量.校准.检测试点试验与效果评价方法研究</t>
  </si>
  <si>
    <t>123</t>
  </si>
  <si>
    <t>适应湿热环境的特高压线路典型灾害监测预警关键技术研究</t>
  </si>
  <si>
    <t>1.面向热带雨林环境的特高压线路山火灾害遥感预测与监测评估技术研究
2.湿热地区多云雾及高植被覆盖条件下洪涝灾害监测评估技术研究
3.面向农牧区的外破隐患广域识别预警与精细化监测技术研究
4.热带雨林地区特高压电力设施立体巡检方法与试点应用</t>
  </si>
  <si>
    <t>124</t>
  </si>
  <si>
    <t>输电线路采动诱发型灾害超前预警与纠偏技术及装备研发</t>
  </si>
  <si>
    <t>1.输电线路塔基采动影响超前监测与致灾智能评估技术研究
2.覆矿区特殊地质输电杆塔基础抗灾能力提升技术研究
3.输电铁塔基础纠偏与快速托（置）换抢修技术及装备研发</t>
  </si>
  <si>
    <t>125</t>
  </si>
  <si>
    <t>大模型驱动的变电站洪涝风险智能感知与防控技术研究及应用</t>
  </si>
  <si>
    <t>1.基于大模型驱动的防汛重点变电站低成本智能水位感知技术与样机研发
2.多源数据融合的变电站洪涝风险大模型预警技术研究
3.面向洪灾主动防御的变电站智能防排水系统关键技术研究与装备研制
4.防汛重点变电站洪涝风险智能预警与主动防控系统集成技术研究</t>
  </si>
  <si>
    <t>126</t>
  </si>
  <si>
    <t>特高压换流站关键设备及回路抗风设计技术研究</t>
  </si>
  <si>
    <t>1.换流站风场特性实验与设备风振高精度监测技术研究
2.换流站关键设备风振损伤机理与疲劳寿命分析研究
3.换流站关键设备抗风防治技术研究
4.换流站直流场设备回路抗风布局设计原则与关键技术指标研究</t>
  </si>
  <si>
    <t>127</t>
  </si>
  <si>
    <t>“双高”受端电网1000kV变电站多维支撑能力提升技术及工程设计研究</t>
  </si>
  <si>
    <r>
      <rPr>
        <sz val="12"/>
        <rFont val="仿宋"/>
        <charset val="134"/>
      </rPr>
      <t>1.受端电网安全稳定因素识别及动态特性建模技术研究
2.110</t>
    </r>
    <r>
      <rPr>
        <sz val="12"/>
        <rFont val="Times New Roman"/>
        <charset val="0"/>
      </rPr>
      <t> </t>
    </r>
    <r>
      <rPr>
        <sz val="12"/>
        <rFont val="仿宋"/>
        <charset val="134"/>
      </rPr>
      <t>kV侧带超容构网型SVG装置优化配置与控制关键技术研究
3.特高压变电站无功补偿系统工程优化设计与改造关键技术研究</t>
    </r>
  </si>
  <si>
    <t>128</t>
  </si>
  <si>
    <t>支撑智能建造的输变电工程BIM深化应用研究</t>
  </si>
  <si>
    <t>1.BIM模型数据与关键要素信息智能标注技术研究
2.BIM模型-物理空间高精度映射与动态定位技术
3.输变电工程BIM模型与工程实体一致性智能校验技术研究
4.基于BIM全过程深化应用的输变电工程智能建造技术研究</t>
  </si>
  <si>
    <t>129</t>
  </si>
  <si>
    <t>输电线路杆塔模块化设计与智能化组立关键技术研究</t>
  </si>
  <si>
    <t>1.输电线路杆塔模块化技术体系研究
2.输电线路杆塔模块化结构设计研究
3.输电线路杆塔智能组塔作业机器人系统研究
4.输电线路杆塔智能组立协同控制作业平台研究</t>
  </si>
  <si>
    <t>130</t>
  </si>
  <si>
    <t>复杂陡峭山区超大档距塔线力学响应及结构设计关键技术研究</t>
  </si>
  <si>
    <t>1.微气象条件下陡峭山区超大档距输电线路动力学响应及荷载设计方法研究
2.陡峭山区超大档距导线选型.防振措施及配套金具研究
3.陡峭山区特殊地形杆塔设计技术研究</t>
  </si>
  <si>
    <t>131</t>
  </si>
  <si>
    <t>基于折展技术的输电铁塔快速建造结构设计及施工方案研究</t>
  </si>
  <si>
    <t>1.面向折展的输电铁塔结构型式与机构设计研究
2.关键连接节点运动与力学性能一体化设计研究
3.输电铁塔稳定展开与高效组装施工技术研究</t>
  </si>
  <si>
    <t>132</t>
  </si>
  <si>
    <t>高海拔重盐碱环境特高压直流线路绝缘子染污机理和外绝缘关键技术研究</t>
  </si>
  <si>
    <t>1.重盐碱环境绝缘子直流污秽特性和染污机理研究
2.重盐碱环境特高压直流线路绝缘子沿面放电特性研究
3.高海拔重盐碱环境±800kV特高压直流线路外绝缘选型与配置研究</t>
  </si>
  <si>
    <t>133</t>
  </si>
  <si>
    <t>退役电力二次设备高效回收关键技术研究</t>
  </si>
  <si>
    <t>1.退役电力二次设备回收潜力挖掘与效益评估技术研究
2.典型退役电力二次设备分级分质高效回收技术研究
3.拆解回收过程典型污染物控制技术研究
4.退役电力二次设备回收工艺集成优化及试点应用</t>
  </si>
  <si>
    <t>134</t>
  </si>
  <si>
    <t>超特高压交流输电线路气动噪声分析与降噪技术研究</t>
  </si>
  <si>
    <t>1.输电线路气动噪声预测模型与影响规律
2.输电线路气动噪声远距离监测与声源解析技术
3.输电线路低气动噪声设计与仿真优化技术
4.输电线路气动噪声控制效果测试验证技术</t>
  </si>
  <si>
    <t>135</t>
  </si>
  <si>
    <t>典型侵蚀强烈区特高压工程水土流失监测与风险防控关键技术研究</t>
  </si>
  <si>
    <t>1.输变电工程沿线典型土壤侵蚀机制研究
2.输变电工程扰动区侵蚀过程多源感知与风险预测技术研究
3.输变电工程边坡侵蚀修复材料与靶向防控技术研究
4.输变电工程扰动区水土流失风险预警与修复方案智能生成技术研究</t>
  </si>
  <si>
    <t>136</t>
  </si>
  <si>
    <t>配网不停电作业环境下人体耦合热应激预警与防护技术研究</t>
  </si>
  <si>
    <t>1.基于个体热耐受的多因素耦合热应激风险评估技术研究
2.配网不停电作业多因素耦合热应激实时监测预警技术研究
3.配网不停电作业绝缘适配型降温-减荷协同防护技术研究</t>
  </si>
  <si>
    <t>137</t>
  </si>
  <si>
    <t>复杂地质条件下隧洞潜在危岩体智能识别与锚固支护机制研究</t>
  </si>
  <si>
    <t>1.隧洞潜在危岩体多源数据智能识别技术研究
2.隧洞潜在危岩体分区分级监测技术研究
3.隧洞潜在危岩体安全预警系统研发及应用
4.隧洞潜在危岩体锚固支护失效机理与综合支护技术研究</t>
  </si>
  <si>
    <t>138</t>
  </si>
  <si>
    <t>抽水蓄能电站库坝渗漏智能探查定位关键技术研究</t>
  </si>
  <si>
    <t>1.抽蓄电站库坝防渗体系缺陷预测技术研究
2.抽蓄电站库坝表面渗漏特征识别与定位技术研究
3.抽蓄电站库坝隐蔽渗漏通道探测技术研究</t>
  </si>
  <si>
    <t>139</t>
  </si>
  <si>
    <t>抽蓄电站大砌块混凝土装配式筑坝关键技术研究</t>
  </si>
  <si>
    <t>1.装配式混凝土重力坝适用条件与荷载传导机理研究
2.预制混凝土材料体系.砌块参数及装配方式研究
3.高性能灌浆.接缝防渗材料与施工工艺研究
4.装配式筑坝安装工艺与施工组织技术研究</t>
  </si>
  <si>
    <t>140</t>
  </si>
  <si>
    <t>面向山区架空线路施工的柔性外骨骼技术研究</t>
  </si>
  <si>
    <t>1.山区线路施工外骨骼柔性传感技术研究
2.山区线路施工外骨骼人机协同控制技术研究
3.山区线路施工柔性外骨骼研制
4.山区线路施工柔性外骨骼试验研究</t>
  </si>
  <si>
    <t>141</t>
  </si>
  <si>
    <t>550千伏全氟异丁腈环保气体GIS大容量开断关键技术与装备研制</t>
  </si>
  <si>
    <t>输变电装备可靠性与性能提升</t>
  </si>
  <si>
    <t>1.C4F7N混合气体电弧等离子体动态行为及其灭弧机制研究
2.C4F7N混合气体大容量开断电弧调控及灭弧结构设计技术研究
3.550kV环保型GIS整机研制与工程示范应用技术研究</t>
  </si>
  <si>
    <t>142</t>
  </si>
  <si>
    <t>基于自固化材料的高压电缆缓冲层烧蚀缺陷修复关键技术研究</t>
  </si>
  <si>
    <t>1.基于自固化材料的高压电缆缓冲层烧蚀缺陷修复机制研究
2.高压电缆缓冲层烧蚀缺陷自固化修复材料配方与批量化制备技术研究
3.基于自固化材料的高压电缆缓冲层烧蚀缺陷工程化修复关键技术研究</t>
  </si>
  <si>
    <t>143</t>
  </si>
  <si>
    <t>棉籽基天然酯绝缘油绿色变压器关键技术及样机研制研究</t>
  </si>
  <si>
    <t>1.棉籽绝缘油深度复配精炼工艺与油品性能稳定技术研究
2.棉籽绝缘油介电-低温-抗氧化协同提升关键技术研究
3.棉籽油-纸体系协同作用机制及其与变压器材料的相容性研究
4.110kV棉籽基天然酯变压器研制与试验验证研究</t>
  </si>
  <si>
    <t>144</t>
  </si>
  <si>
    <t>高海拔强降雨环境下交流超高压套管雨闪特性与防治技术研究</t>
  </si>
  <si>
    <t>1.高海拔地区交流超高压套管雨闪故障特征及试验方法研究
2.高海拔强降雨环境下套管雨闪放电特性研究
3.高海拔交流超高压套管雨闪防治方法研究</t>
  </si>
  <si>
    <t>145</t>
  </si>
  <si>
    <t>超特高压GIS同频同相耐压试验关键技术及装备研究</t>
  </si>
  <si>
    <t>1.超特高压GIS同频同相试验频率相位可靠控制研究
2.超特高压GIS同频同相耐压试验异常工况下的放电特性及防控措施研究
3.超特高压GIS同频同相耐压试验装置研制
4.超特高压GIS同频同相耐压试验现场应用研究</t>
  </si>
  <si>
    <t>146</t>
  </si>
  <si>
    <t>220kV复合缆线超导故障限流器短路限流机理与实验研究</t>
  </si>
  <si>
    <t>1.复合缆线超导限流器结构设计与冷却技术研究
2.复合缆线超导限流器多物理场耦合短路限流计算方法研究
3.复合缆线超导限流器超导单元研制与故障限流实验技术研究</t>
  </si>
  <si>
    <t>147</t>
  </si>
  <si>
    <r>
      <rPr>
        <sz val="12"/>
        <rFont val="仿宋"/>
        <charset val="134"/>
      </rPr>
      <t>C</t>
    </r>
    <r>
      <rPr>
        <sz val="12"/>
        <color indexed="8"/>
        <rFont val="Times New Roman"/>
        <charset val="0"/>
      </rPr>
      <t>₄</t>
    </r>
    <r>
      <rPr>
        <sz val="12"/>
        <color indexed="8"/>
        <rFont val="仿宋"/>
        <charset val="134"/>
      </rPr>
      <t>F</t>
    </r>
    <r>
      <rPr>
        <sz val="12"/>
        <color indexed="8"/>
        <rFont val="Times New Roman"/>
        <charset val="0"/>
      </rPr>
      <t>₇</t>
    </r>
    <r>
      <rPr>
        <sz val="12"/>
        <color indexed="8"/>
        <rFont val="仿宋"/>
        <charset val="134"/>
      </rPr>
      <t>N/CO</t>
    </r>
    <r>
      <rPr>
        <sz val="12"/>
        <color indexed="8"/>
        <rFont val="Times New Roman"/>
        <charset val="0"/>
      </rPr>
      <t>₂</t>
    </r>
    <r>
      <rPr>
        <sz val="12"/>
        <color indexed="8"/>
        <rFont val="仿宋"/>
        <charset val="134"/>
      </rPr>
      <t>混合气体绝缘变压器关键技术研究</t>
    </r>
  </si>
  <si>
    <r>
      <rPr>
        <sz val="12"/>
        <rFont val="仿宋"/>
        <charset val="134"/>
      </rPr>
      <t>1.C</t>
    </r>
    <r>
      <rPr>
        <sz val="12"/>
        <rFont val="Times New Roman"/>
        <charset val="0"/>
      </rPr>
      <t>₄</t>
    </r>
    <r>
      <rPr>
        <sz val="12"/>
        <rFont val="仿宋"/>
        <charset val="134"/>
      </rPr>
      <t>F</t>
    </r>
    <r>
      <rPr>
        <sz val="12"/>
        <rFont val="Times New Roman"/>
        <charset val="0"/>
      </rPr>
      <t>₇</t>
    </r>
    <r>
      <rPr>
        <sz val="12"/>
        <rFont val="仿宋"/>
        <charset val="134"/>
      </rPr>
      <t>N/CO</t>
    </r>
    <r>
      <rPr>
        <sz val="12"/>
        <rFont val="Times New Roman"/>
        <charset val="0"/>
      </rPr>
      <t>₂</t>
    </r>
    <r>
      <rPr>
        <sz val="12"/>
        <rFont val="仿宋"/>
        <charset val="134"/>
      </rPr>
      <t>混合气体与气体变材料的相容性及分解特性研究
2.C</t>
    </r>
    <r>
      <rPr>
        <sz val="12"/>
        <rFont val="Times New Roman"/>
        <charset val="0"/>
      </rPr>
      <t>₄</t>
    </r>
    <r>
      <rPr>
        <sz val="12"/>
        <rFont val="仿宋"/>
        <charset val="134"/>
      </rPr>
      <t>F</t>
    </r>
    <r>
      <rPr>
        <sz val="12"/>
        <rFont val="Times New Roman"/>
        <charset val="0"/>
      </rPr>
      <t>₇</t>
    </r>
    <r>
      <rPr>
        <sz val="12"/>
        <rFont val="仿宋"/>
        <charset val="134"/>
      </rPr>
      <t>N/CO</t>
    </r>
    <r>
      <rPr>
        <sz val="12"/>
        <rFont val="Times New Roman"/>
        <charset val="0"/>
      </rPr>
      <t>₂</t>
    </r>
    <r>
      <rPr>
        <sz val="12"/>
        <rFont val="仿宋"/>
        <charset val="134"/>
      </rPr>
      <t>气体绝缘变压器主绝缘系统电场分布及控制研究
3.C</t>
    </r>
    <r>
      <rPr>
        <sz val="12"/>
        <rFont val="Times New Roman"/>
        <charset val="0"/>
      </rPr>
      <t>₄</t>
    </r>
    <r>
      <rPr>
        <sz val="12"/>
        <rFont val="仿宋"/>
        <charset val="134"/>
      </rPr>
      <t>F</t>
    </r>
    <r>
      <rPr>
        <sz val="12"/>
        <rFont val="Times New Roman"/>
        <charset val="0"/>
      </rPr>
      <t>₇</t>
    </r>
    <r>
      <rPr>
        <sz val="12"/>
        <rFont val="仿宋"/>
        <charset val="134"/>
      </rPr>
      <t>N/CO</t>
    </r>
    <r>
      <rPr>
        <sz val="12"/>
        <rFont val="Times New Roman"/>
        <charset val="0"/>
      </rPr>
      <t>₂</t>
    </r>
    <r>
      <rPr>
        <sz val="12"/>
        <rFont val="仿宋"/>
        <charset val="134"/>
      </rPr>
      <t>混合气体变压器温升特性与综合传热性能提升技术研究
4.C</t>
    </r>
    <r>
      <rPr>
        <sz val="12"/>
        <rFont val="Times New Roman"/>
        <charset val="0"/>
      </rPr>
      <t>₄</t>
    </r>
    <r>
      <rPr>
        <sz val="12"/>
        <rFont val="仿宋"/>
        <charset val="134"/>
      </rPr>
      <t>F</t>
    </r>
    <r>
      <rPr>
        <sz val="12"/>
        <rFont val="Times New Roman"/>
        <charset val="0"/>
      </rPr>
      <t>₇</t>
    </r>
    <r>
      <rPr>
        <sz val="12"/>
        <rFont val="仿宋"/>
        <charset val="134"/>
      </rPr>
      <t>N/CO</t>
    </r>
    <r>
      <rPr>
        <sz val="12"/>
        <rFont val="Times New Roman"/>
        <charset val="0"/>
      </rPr>
      <t>₂</t>
    </r>
    <r>
      <rPr>
        <sz val="12"/>
        <rFont val="仿宋"/>
        <charset val="134"/>
      </rPr>
      <t>混合气体绝缘变压器设计.研制及试验技术研究</t>
    </r>
  </si>
  <si>
    <t>148</t>
  </si>
  <si>
    <t>特高压电抗器出线装置放电起始诱因及预警保护技术研究</t>
  </si>
  <si>
    <t>1.特高压电抗器出线装置放电起始诱因及放电信号时频特征研究
2.宽频带声电联合局部放电感知及抗干扰技术研究
3.特高压出线装置放电预警及保护技术研究</t>
  </si>
  <si>
    <t>149</t>
  </si>
  <si>
    <t>大容量多柱并联避雷器组性能提升与冲击均能试验方法研究及系统研发</t>
  </si>
  <si>
    <t>1.大容量多柱并联避雷器组缺陷电阻片特性及其对均能特性影响研究
2.大容量多柱并联避雷器组冲击均能试验方法研究
3.大容量多柱并联避雷器组冲击均能试验专用快速精准分断和关合开关研究
4.大容量多柱并联避雷器组冲击均能试验系统的研发和应用研究</t>
  </si>
  <si>
    <t>150</t>
  </si>
  <si>
    <t>面向在运变电站的550kV/80kA GIS设备原位替换增容改造技术研究</t>
  </si>
  <si>
    <t>1.兼容多厂商多代际在运GIS设备的集成增容技术研究
2.500kV在运电站GIS断路器增容改造技术研究
3.500kV在运电站GIS其它元件增容改造技术研究
4.在运变电站空间复用与分阶段施工技术研究</t>
  </si>
  <si>
    <t>151</t>
  </si>
  <si>
    <t>直流分量超标对换流站交流开关开断影响机理及综合保护技术研究</t>
  </si>
  <si>
    <t>1.换流站交流侧直流电流产生机理及量化分析研究
2.直流分量对交流开关开断能力影响评估方法研究
3.计及交流开关开断直流电流分量能力的综合保护策略研究
4.应对直流分量超标的交流开关优化设计技术研究</t>
  </si>
  <si>
    <t>152</t>
  </si>
  <si>
    <t>超特高压GIS关键结构与组部件可靠性提升研究</t>
  </si>
  <si>
    <t>1.GIS绝缘裕度评价与提升技术研究
2.聚四氟乙烯件老化特性及质量提升技术研究
3.GIS铸铝合金壳体可靠性提升技术研究
4.GIS用瓷套管瓷质微观性能表征与检测方法研究</t>
  </si>
  <si>
    <t>153</t>
  </si>
  <si>
    <t>特高压变压器现场安装工艺模拟实证研究及智能化装备研制</t>
  </si>
  <si>
    <t>1.现场安装典型故障及处理方法研究
2.多因素耦合作用下特高压变压器内部水分动态迁移机理研究
3.特高压变压器类设备标准化安装工艺研究
4.现场安装全流程数智化提升及装备研制</t>
  </si>
  <si>
    <t>154</t>
  </si>
  <si>
    <t>超特高压变压器油中氢气异常风险高可靠辨识与检修决策技术研究</t>
  </si>
  <si>
    <t>1.超特高压变压器异常产氢实验模拟技术研究
2.变压器油中产氢缺陷特征提取及对可靠性的影响规律研究
3.产氢缺陷种类的智能研判与检修决策技术研究</t>
  </si>
  <si>
    <t>155</t>
  </si>
  <si>
    <t>柔直系统直流混叠高频电压下胶浸纸套管绝缘致损机制及可靠性提升技术研究</t>
  </si>
  <si>
    <t>柔性支撑装备</t>
  </si>
  <si>
    <t>1.考虑高频介损发热的环氧胶浸纸套管温度特性研究
2.直流混叠高频电压下环氧胶浸纸套管绝缘致损机制研究纸套管绝缘致损机制研究
3.环氧胶浸纸套管直流混叠高频电压耐受能力测试与评价方法研究
4.强高频干扰条件下的环氧胶浸纸套管运行状态表征与监测技术研究</t>
  </si>
  <si>
    <t>156</t>
  </si>
  <si>
    <t>500kV有源振荡直流断路器关键技术及样机研制</t>
  </si>
  <si>
    <t>1.500kV有源振荡直流断路器拓扑及参数协同设计研究
2.500kV有源振荡直流断路器核心组部件技术研究
3.500kV有源振荡直流断路器紧凑集成与样机研制
4.500kV有源振荡直流断路器柔直系统应用特性及示范</t>
  </si>
  <si>
    <t>157</t>
  </si>
  <si>
    <t>多回直流组合共用接地极互联网络关键技术研究及装备研制</t>
  </si>
  <si>
    <t>1.多回直流共用接地极网络的设计准则与系统条件研究
2.多回直流共用接地极网络的型式.拓扑结构与电极优化布置研究
3.多回直流共用接地极网络的均流方案研究与均流设备研制研究
4.新建直流工程复用在运接地极关键技术研究</t>
  </si>
  <si>
    <t>158</t>
  </si>
  <si>
    <t>超/特高压柔直换流阀IGCT-MMC功率模块性能提升关键技术研究</t>
  </si>
  <si>
    <t>1.IGCT功率模块瞬态性能调控关键技术研究
2.IGCT功率模块多级主动防护技术研究
3.IGCT功率模块运行状态监测与评价关键技术研究
4.适用于超/特高压柔直换流阀的高性能IGCT功率模块研制</t>
  </si>
  <si>
    <t>159</t>
  </si>
  <si>
    <t>面向特高压电网电压支撑的静止式暂态全功率补偿关键技术研究</t>
  </si>
  <si>
    <t>1.特高压电网暂态特性与补偿装置相互作用机理研究
2.特高压用静止式全功率补偿装置拓扑及参数设计研究
3.计及差异化储能配置的补偿装置支撑能力量化评估及适应性技术研究
4.静止式暂态全功率补偿装置多机协同控制及应用技术研究</t>
  </si>
  <si>
    <t>160</t>
  </si>
  <si>
    <t>磁阀式静止同步调相机关键技术研究及应用</t>
  </si>
  <si>
    <t>1.高效.低噪音.低谐波磁阀式饱和电感理论研究
2.基于磁阀式饱和电感的静止同步调相机理论及特性研究
3.10kV，5Mvar磁阀式静止同步调相机样机研制</t>
  </si>
  <si>
    <t>161</t>
  </si>
  <si>
    <t>特高压柔直输电无线电干扰特性与综合治理关键技术研究</t>
  </si>
  <si>
    <t>1.特高压柔直换流器时变拓扑及多尺度等效电路建模方法研究
2.特高压柔直换流系统高频传导电磁干扰特性研究
3.特高压柔直换流站及输电线路无线电干扰特性及预测方法研究
4.特高压柔直系统高频电磁干扰特性主动防御及自适应抑制方法研究</t>
  </si>
  <si>
    <t>162</t>
  </si>
  <si>
    <t>支撑直流安全运行的构网型SVG关键技术与性能评估实证研究</t>
  </si>
  <si>
    <t>1.构网型SVG对直流近区输电系统的支撑机理研究
2.直流近区构网型SVG控制策略研究
3.直流近区电网构网型SVG装置开发研究
4.直流近区电网构网型SVG性能评价方法研究</t>
  </si>
  <si>
    <t>163</t>
  </si>
  <si>
    <t>基于数字孪生体构建与多模态感知增强的变压器智能运维关键技术研究</t>
  </si>
  <si>
    <t>设备数智化与智能运检</t>
  </si>
  <si>
    <t>1.面向数字孪生体的变压器多模态状态感知增强与自进化样本库构建方法研究
2.基于物理信息神经网络的变压器数字孪生体建模方法研究
3.基于数字孪生与因果元学习的变压器故障诊断与预测技术研究
4.基于数字孪生体的诊断结果验证与跨站共智.共享技术研究</t>
  </si>
  <si>
    <t>164</t>
  </si>
  <si>
    <t>变电设备内部痕量分解气体高精度量子检测关键技术研究</t>
  </si>
  <si>
    <t>1.基于量子光源的变电设备内部痕量分解气体检测原理研究
2.高精度光量子气体检测与抗干扰关键技术研究
3.SF6气体分解物量子检测装置样机研制与实验验证
4.油中溶解气体量子检测装置样机研制与实验验证</t>
  </si>
  <si>
    <t>165</t>
  </si>
  <si>
    <t>特高压交流工程用宽频电压互感器关键技术研究与样机研制</t>
  </si>
  <si>
    <t>1.特高压电网中暂态过电压传播机理及幅频特性研究
2.适用于特高压交流工程的宽频电压互感器的选型及关键技术研究
3.特高压宽频电压互感器试验方法及试验装置技术研究
4.特高压交流工程用宽频电压量测装置研制研究</t>
  </si>
  <si>
    <t>166</t>
  </si>
  <si>
    <t>换流阀电-热-流耦合的仿真关键技术研究</t>
  </si>
  <si>
    <t>1.换流阀电-热-流多物理域耦合演化机理与数学表征方法研究
2.跨尺度下电-热-流多领域系统的统一仿真模型与求解算法研究
3.换流阀及冷却系统多工况动态特性仿真及优化设计研究
4.换流阀样机研制和全景式仿真验证测试</t>
  </si>
  <si>
    <t>167</t>
  </si>
  <si>
    <t>基于具身空间的架空输电线路运检关键技术及装备研究</t>
  </si>
  <si>
    <t>1.架空输电线路运检物理空间理解技术研究
2.架空输电检修装备具身空间同步与自适应决策技术研究
3.输电线路检修作业标准化子任务生成技术研究
4.超特高压输电线路金具更换及导线补修技术验证研究</t>
  </si>
  <si>
    <t>168</t>
  </si>
  <si>
    <t>特高压换流阀饱和电抗器过热故障预警防范技术研究与应用</t>
  </si>
  <si>
    <t>1.饱和电抗器过热故障机理与多场快速推演研究
2.饱和电抗器温度振动在线监测技术研究
3.饱和电抗器便携式冲击电流振动激励与快速检测技术研究
4.饱和电抗器过热故障预警防范系统研发验证</t>
  </si>
  <si>
    <t>169</t>
  </si>
  <si>
    <t>超特高压GIS/GIL典型微缺陷X射线高精度检测技术与应用研究</t>
  </si>
  <si>
    <t>1.超特高压GIS母线/GIL内部微小异物多维高精度检测技术研究
2.特高压GIS绝缘子气隙缺陷X射线靶向调控局放技术研究
3.超特高压GIS/GIL典型微缺陷X射线智能图谱库构建与智能识别技术研究
4.基于X射线透照与调控一体化的GIS/GIL微缺陷检测应用研究</t>
  </si>
  <si>
    <t>170</t>
  </si>
  <si>
    <t>超高压交流变压器和电抗器绕组突发短路机理与故障防御技术研究</t>
  </si>
  <si>
    <t>1.多因素耦合下超高压交流变压器.电抗器突发短路故障机理研究
2.超高压交流变压器.电抗器绕组突发短路故障演化及致灾机理研究
3.超高压交流变压器和电抗器匝间及饼间短路故障识别与定位技术研究</t>
  </si>
  <si>
    <t>171</t>
  </si>
  <si>
    <t>基于风险辨识的超特高压变电主设备自主运防关键技术研究</t>
  </si>
  <si>
    <t>1.基于世界模型的变电主设备缺陷研判及风险预警技术研究
2.世界模型驱动的变电主设备无人化自主运防技术研究
3.多智能终端协同的变电主设备风险决策技术研究
4.基于风险决策的超特高压变电主设备主动运防智能体构建及应用</t>
  </si>
  <si>
    <t>172</t>
  </si>
  <si>
    <t>基于快速质谱与量子光学的550kV C4F7N环保GIS运行状态检测技术及应用研究</t>
  </si>
  <si>
    <t>1.C4F7N混合气体痕量分解产物快速质谱检测技术研究
2.C4F7N环保GIS微弱局部放电的量子光学感知技术研究
3.基于电-气联合的C4F7N环保GIS运行状态检测与评估技术研究及应用</t>
  </si>
  <si>
    <t>173</t>
  </si>
  <si>
    <t>基于电场畸变的超高压GIL缺陷感知与主被动协同状态评价技术研究</t>
  </si>
  <si>
    <t>1.超高压GIL多类型缺陷下电场畸变机理与高性能测量技术研究
2.GIL内部电场畸变样本构建与增强技术研究
3.基于电场畸变的GIL多类型缺陷主动感知技术研究
4.主被动检测结合的超高压GIL设备状态评价方法研究</t>
  </si>
  <si>
    <t>174</t>
  </si>
  <si>
    <t>新型高性能触指材料设计、性能调控与制备工艺技术研究</t>
  </si>
  <si>
    <t>1.触指失效机制研究及新型触指关键材料设计.性能调控
2.新型触指精密加工成型关键技术研究
3.高压开关设备用新型触指性能评估方法及工程应用技术研究</t>
  </si>
  <si>
    <t>175</t>
  </si>
  <si>
    <t>高压电力电容器用植物基浸渍剂研制及应用关键技术</t>
  </si>
  <si>
    <t>176</t>
  </si>
  <si>
    <t>高阻值碳陶瓷复合材料导电性调控与阻值稳定性研究</t>
  </si>
  <si>
    <t>1.高阻值碳陶瓷复合材料导电性精准调控与配方优化研究
2.基于炭黑精准分散工艺的大尺寸碳陶瓷复合材料制备技术研究
3.高阻值碳陶瓷电阻片阻值稳定性提升技术研究及验证</t>
  </si>
  <si>
    <t>177</t>
  </si>
  <si>
    <t>±400kV换流变复杂应力条件下绝缘纸板损伤规律及材料性能提升技术研究</t>
  </si>
  <si>
    <t>1.±400kV换流变运行工况下绝缘纸板材料应力分析及损伤规律研究
2.耐复杂应力的高性能绝缘纸板材料性能提升技术
3.±400kV换流变绝缘纸板材料性能评价与应用验证</t>
  </si>
  <si>
    <t>178</t>
  </si>
  <si>
    <t>110kV交流聚丙烯海缆关键技术研究及应用</t>
  </si>
  <si>
    <t>1.110kV聚丙烯海缆绝缘材料和半导电屏蔽材料研究
2.大长度110kV聚丙烯海缆设计及成缆工艺研究
3.110kV聚丙烯海缆软接头工艺研究
4.110kV聚丙烯海缆试验评价技术研究</t>
  </si>
  <si>
    <t>179</t>
  </si>
  <si>
    <t>兼顾高耐温与高耐压特性的干式电容器用薄膜材料关键技术研究</t>
  </si>
  <si>
    <t>1.耐高温聚合物薄膜调控机制及改性方法研究
2.新型耐高温薄膜材料制备技术研究
3.基于耐高温薄膜材料的干式电容器研制
4.基于真型工况的干式电容器试验评估与应用验证</t>
  </si>
  <si>
    <t>180</t>
  </si>
  <si>
    <t>超/特高压用高准确度电磁式直流电流互感器铁心材料国产化技术</t>
  </si>
  <si>
    <t>1.高性能磁性材料成分设计理论与性能调控研究
2.高性能磁性材料国产化及铁心制备关键技术研究
3.基于国产材料的高准确度电磁式直流电流互感器设计研制技术</t>
  </si>
  <si>
    <t>181</t>
  </si>
  <si>
    <t>110kV电缆终端用三元乙丙橡胶与硅油研制及试点应用研究</t>
  </si>
  <si>
    <t>1.110kV电缆附件用三元乙丙橡胶材料自主化研究
2.110kV电缆终端用高性能硅油自主化研究
3.基于自主绝缘材料的110kV电缆终端设计与制造技术研究
4.基于自主绝缘材料的110kV电缆终端监测与试点应用研究</t>
  </si>
  <si>
    <t>182</t>
  </si>
  <si>
    <t>适配320Mvar特高压电抗器声振特性的声学超构材料研究及应用技术</t>
  </si>
  <si>
    <t>1.电抗器表面低频声学超构材料设计方法与制备工艺研究
2.电抗器油内低频声学超构材料构型设计与降噪构件研究
3.电抗器用声学超构材料综合性能验证研究</t>
  </si>
  <si>
    <t>183</t>
  </si>
  <si>
    <t>断路器液压碟簧操动机构动密封材料国产化关键技术研究</t>
  </si>
  <si>
    <t>1.耐超高压耐低温橡胶材料配方开发及工艺匹配性研究
2.高耐磨改性聚四氟乙烯材料配方开发与材料-结构匹配性仿真研究
3.液压碟簧操动机构国产化动密封材料应用验证</t>
  </si>
  <si>
    <t>184</t>
  </si>
  <si>
    <t>架空导线用多功能复合防覆冰涂层材料开发及应用</t>
  </si>
  <si>
    <t>1.架空导线用多功能复合防覆冰涂层材料抗结冰机制研究
2.架空导线用多功能复合防覆冰涂层材料设计与性能优化研究
3.多功能复合防覆冰涂层材料的施工工艺与应用</t>
  </si>
  <si>
    <t>185</t>
  </si>
  <si>
    <t>特高压直流换流阀阳极饱和电抗器用超薄取向硅钢国产化研制及应用技术</t>
  </si>
  <si>
    <t>1.国产超薄取向硅钢性能提升研究
2.服役性能精确表征的多物理场高效仿真与优化
3.阳极饱和电抗器国产化研制及运行状态评估</t>
  </si>
  <si>
    <t>186</t>
  </si>
  <si>
    <t>直流换流变压器用低振动低损耗取向硅钢开发及应用技术研究</t>
  </si>
  <si>
    <t>1.直流偏磁下取向硅钢振动与损耗基础理论及调控方法研究
2.直流工况用低振动低损耗取向硅钢制备关键技术
3.低振动低损耗取向硅钢换流变铁心数字化模型研究及功能验证样机研制</t>
  </si>
  <si>
    <t>187</t>
  </si>
  <si>
    <t>抗疲劳轻质高强铝合金架空输电导线研制及应用技术研究</t>
  </si>
  <si>
    <t>1.抗疲劳高强铝合金导体材料性能调控机理.成分设计及制备工艺研究
2.抗疲劳轻质高强铝合金导线及配套金具制备研究
3.抗疲劳轻质高强铝合金导线真型试验及工程应用研究</t>
  </si>
  <si>
    <t>188</t>
  </si>
  <si>
    <t>提升电网极端环境支撑的中温钙基热化学储热材料及其应用技术研究</t>
  </si>
  <si>
    <t>1.中温氧化钙基热化学储热材料技术研究
2.热化学储热装置关键部件设计研究
3.热化学储热样机研制.集成仿真及技术经济性研究</t>
  </si>
  <si>
    <t>189</t>
  </si>
  <si>
    <t>特高压输电带电作业用大长度绝缘吊杆增强型轻质复合材料开发及应用技术研究</t>
  </si>
  <si>
    <t>1.PBO纤维增强环氧材料开发及浸润特性提升技术研究
2.PBO纤维/玻璃纤维混杂增强环氧复合材料制备方法和技术
3.高力学强度轻量化承力连接材料制备及连接技术
4.带电作业大长度增强型轻质绝缘吊杆研制及试点应用</t>
  </si>
  <si>
    <t>190</t>
  </si>
  <si>
    <t>国产新戊基多元醇酯环保合成绝缘油可控制备及应用关键技术研究</t>
  </si>
  <si>
    <t>1.国产新戊基多元醇酯环保合成绝缘油设计合成与多维性能调控技术研究
2.国产新戊基多元醇酯环保合成绝缘油规模化制备技术研究
3.国产新戊基多元醇酯环保合成绝缘油变压器研制与应用</t>
  </si>
  <si>
    <t>191</t>
  </si>
  <si>
    <t>生物基可降解环氧树脂研制及其在66kV干式变压器中的应用技术研究</t>
  </si>
  <si>
    <t>1.生物基可降解环氧树脂动态交联网络设计及构效关系
2.基于复配改性的树脂导热.介电与力学增韧的多维性能协同调控方法
3.生物基可降解树脂长时服役性能演变机制与回收利用技术
4.生物基可降解环氧树脂的66kV干式变压器研制与应用</t>
  </si>
  <si>
    <t>192</t>
  </si>
  <si>
    <t>高性能精密合金电阻材料国产化设计、制备及应用关键技术研究</t>
  </si>
  <si>
    <t>1.高性能精密电阻材料设计.制备与组织调控机理研究
2.高性能精密电阻电学性能协同调控技术研究
3.基于高精密合金电阻的高准确度电能表技术研究及应用</t>
  </si>
  <si>
    <t>193</t>
  </si>
  <si>
    <t>大功率半导体器件通流能力提升及应用技术研究</t>
  </si>
  <si>
    <t>1.高结温IGBT器件芯片-封装协同设计技术研究
2.高通流IGBT器件极限过载能力评估技术研究
3.基于高运行结温IGBT器件的换流阀全桥功率模块样机研制</t>
  </si>
  <si>
    <t>194</t>
  </si>
  <si>
    <t>碳化硅双极型高压功率器件用P型衬底材料的研制与应用验证</t>
  </si>
  <si>
    <t>1.P型碳化硅晶体生长工艺研究
2.百微米级碳化硅外延层生长技术研究
3.碳化硅双极型高压功率器件研制</t>
  </si>
  <si>
    <t>195</t>
  </si>
  <si>
    <t>柔直换流阀暂态极限工况下压接型IGBT劣化规律与检测方法研究</t>
  </si>
  <si>
    <t>1.柔直换流阀极限工况下IGBT失效演化过程和机理分析
2.极限工况下压接型IGBT劣化特征与数据分析平台研究
3.极限工况下压接型IGBT早期劣化快速筛选方法研究</t>
  </si>
  <si>
    <t>196</t>
  </si>
  <si>
    <t>基于国产专用芯片的直流换流阀高可靠控制器研究</t>
  </si>
  <si>
    <t>1.强电磁环境下高电位专用芯片电磁耦合特征与防护技术研究
2.国产高电位控制器专用芯片数-模-功率电路异构集成技术研究
3.高电位专用芯片设计与可靠性提升技术研究
4.国产高电位控制器的研制与验证</t>
  </si>
  <si>
    <t>197</t>
  </si>
  <si>
    <t>压接型IGBT器件芯片终端耐压失效与空间电荷关联机制及性能提升技术研究</t>
  </si>
  <si>
    <t>1.芯片终端与封装耦合界面电荷分布对器件电场分布影响机理研究
2.压接器件芯片终端耐压失效特征与绝缘评估技术
3.动态过程中界面电荷及电场均匀分布终端结构及封装优化技术</t>
  </si>
  <si>
    <t>198</t>
  </si>
  <si>
    <t>面向高可靠供电保障的高压高频碳化硅器件研制与应用</t>
  </si>
  <si>
    <t>1.碳化硅MOSFET芯片通流能力与开关频率同步提升方法与关键技术
2.碳化硅MOSFET器件高压大容量与低寄生参数协同优化封装技术
3.高温高压高频碳化硅器件可靠性评估与防护性能提升技术
4.基于碳化硅器件的小型化高可靠供电保障装备研制及应用</t>
  </si>
  <si>
    <t>199</t>
  </si>
  <si>
    <t>基于物理-数据混合驱动的压接式IGBT移动式检测技术研究与装备研制</t>
  </si>
  <si>
    <t>1.压接型IGBT器件微观分子-宏观器件多物理界面退化机理及特征量研究
2.多源数据集融合与特征量边缘轻量化的IGBT参数感知系统研制
3.子模块IGBT多特征数据融合的健康评估方法研究
4.换流阀IGBT一体化移动式快速检测装备研制</t>
  </si>
  <si>
    <t>200</t>
  </si>
  <si>
    <t>面向高寒地区配网柔性互联的碳化硅器件性能提升及应用</t>
  </si>
  <si>
    <t>1.面向极寒环境的高压碳化硅芯片设计与制造技术研究
2.高寒工况无水冷散热碳化硅模块及封装技术研究
3.碳化硅器件低温启动特性与高可靠驱动技术
4.基于国产碳化硅器件的高寒环境电力电子装置研制与试点试验</t>
  </si>
  <si>
    <t>201</t>
  </si>
  <si>
    <t>202</t>
  </si>
  <si>
    <t>高压IGBT功率模块高过载能力多级协同优化关键技术研究</t>
  </si>
  <si>
    <t>1.高过载器件失效机理与增强过载耐受能力的器件设计方法研究
2.耐高温界面互连工艺与低热阻封装材料开发
3.高效液冷-热容协同的器件过载能力提升机理研究</t>
  </si>
  <si>
    <t>203</t>
  </si>
  <si>
    <t>适应新型电力系统通信网络的超低损耗超低时延空芯光纤光缆技术研究及应用</t>
  </si>
  <si>
    <t>1.电力架空.超长距离等特殊环境对空芯光纤性能影响机理研究
2.基于超低损耗超低时延电力通信网需求的空芯光纤OPGW光缆设计制备及其性能研究
3.基于空芯光纤的电力光通信系统关键器件研究
4.基于空芯光纤OPGW光缆的电力通信系统验证与试点应用</t>
  </si>
  <si>
    <t>204</t>
  </si>
  <si>
    <t>面向变电站场景的26GHz毫米波通感算一体化关键技术研究与应用</t>
  </si>
  <si>
    <t>1.电力5G毫米波通感算一体化应用组网技术研究
2.电力5G毫米波通感算一体化无线空口与融合计算关键技术研究
3.电力5G毫米波低空反无人机应用关键技术研究
4.电力5G毫米波通感算一体化定制化装置研发与试点</t>
  </si>
  <si>
    <t>205</t>
  </si>
  <si>
    <t>电力芯片多物理场仿真EDA软件</t>
  </si>
  <si>
    <t>1.高精度多物理场仿真模型研究
2.高效多物理场数值仿真算法研究
3.人工智能+EDA的自适应设计算法
4.软件在芯片核心器件中的应用验证</t>
  </si>
  <si>
    <t>206</t>
  </si>
  <si>
    <t>面向广域算力互联的高性能通信及资源协同调度技术</t>
  </si>
  <si>
    <t>1.基于可编程硬件的RDMA协议卸载与电力业务适配技术研究
2.端网协同的广域RDMA拥塞感知与快速控制技术研究
3.基于OTN路径倒换的广域传输网络保护技术研究
4.面向广域分布式智算任务的通信通道自适应调度技术研究
5.白盒化的专用智算网关设备研制</t>
  </si>
  <si>
    <t>207</t>
  </si>
  <si>
    <t>面向业务跨级传输的主配一体确定性网络架构与关键技术研究</t>
  </si>
  <si>
    <t>1.电力业务跨级传输需求与主配一体确定性网络架构研究
2.主配一体确定性网络模型与资源调配技术研究
3.主配一体确定性网络跨级互联互通和保护协同技术研究
4.主配一体确定性网络管控平台架构研究</t>
  </si>
  <si>
    <t>208</t>
  </si>
  <si>
    <t>面向电力低空智联网的通导增强关键技术研究与应用</t>
  </si>
  <si>
    <t>1.电力低空智联通导一体架构技术研究
2.电力多模通信增强与智能调度技术研究
3.基于多源融合的电力低空定位导航增强与抗干扰技术研究
4.电力低空智联网智能管控技术研究及试点验证</t>
  </si>
  <si>
    <t>209</t>
  </si>
  <si>
    <t>复杂环境输配电线路感知的无源通信增强监测芯片及装置研制</t>
  </si>
  <si>
    <t>1.多源数据传感器芯片接口电路关键技术研究
2.低功耗远距离无源通信电路技术研究
3.多源环境能量获取技术与监测芯片研制
4.输配电线路感知的监测装置研制及试点验证</t>
  </si>
  <si>
    <t>210</t>
  </si>
  <si>
    <t>复杂业务场景下电力通信网络内生智能与安全稳定技术研究</t>
  </si>
  <si>
    <t>1.电力通信网络内生智能协同架构构建研究
2.基于智能体协同的通信故障检修与方式资源管控技术研究
3.叠加电网状态下电力通信业务全链条安全稳定量化计算方法研究
4.电力通信网络内生智能与安全稳定技术试点试验</t>
  </si>
  <si>
    <t>211</t>
  </si>
  <si>
    <t>面向区域数字孪生电网的电力卫星物联网通信关键技术研究</t>
  </si>
  <si>
    <t>1.复杂场景下区域通信网传输架构与电力业务适配研究
2.适配区域电力物联业务的高效语义通信技术研究
3.电力卫星物联网通信接入保障技术研究
4.复杂场景下区域通信网的智能化管理与效能评估方法研究</t>
  </si>
  <si>
    <t>212</t>
  </si>
  <si>
    <t>高压量测设备状态评估大模型关键技术与应用研究</t>
  </si>
  <si>
    <t>1.基于大模型解析的互感器数据融合与机理建模技术研究
2.跨域拓扑动态学习与互感器状态评估大-小模型协进技术研究
3.计及漏磁-声纹特征异常智能检测的边缘侧轻量化模型压缩技术研究
4.互感器及其计量回路智能诊断与运维决策智能体技术研究</t>
  </si>
  <si>
    <t>213</t>
  </si>
  <si>
    <t>纳秒级上升沿脉冲高电压精密测量、标准装置及校准技术研究</t>
  </si>
  <si>
    <t>1.快速及特快波前过电压波形特征分析与量值溯源方法
2.纳秒级脉冲高电压精密测量技术及标准装置研制
3.纳秒级脉冲高电压测量设备评价方法研究
4.纳秒级脉冲高电压校准装置研制及应用</t>
  </si>
  <si>
    <t>214</t>
  </si>
  <si>
    <t>硅基多光谱图像传感技术与设备绝缘缺陷检测关键技术研究及应用</t>
  </si>
  <si>
    <t>1.设备绝缘缺陷的多光谱视觉感知机理及表征方法研究
2.基于新型硅基器件的多光谱图像传感器研究
3.基于多光谱的设备绝缘缺陷监测及应用技术研究
4.面向设备主动防御的植入式多光谱传感器研发及应用技术研究</t>
  </si>
  <si>
    <t>215</t>
  </si>
  <si>
    <t>超/特高压直流换流阀局部放电“声纹-射频”协同监测关键技术研究</t>
  </si>
  <si>
    <t>1.换流阀典型局放演变机理和“声纹-射频”联合传感特性研究
2.强干扰环境下换流阀局放“声纹-射频”信号鲁棒感知技术研究
3.基于“声纹-射频”融合的换流阀局放诊断与定位技术研究
4.换流阀局放“声纹-射频”融合传感监测系统研发及应用验证</t>
  </si>
  <si>
    <t>216</t>
  </si>
  <si>
    <t>量子增强超敏原位油溶气体传感及应用技术研究</t>
  </si>
  <si>
    <t>1.量子增强气体感知机理与量子效应调控技术研究
2.AI辅助的量子增强超敏气体传感材料体系高通量筛选与制备技术研究
3.量子增强超敏气体传感芯片晶圆级高一致性制备技术研究
4.高可靠气体传感器封装及应用技术研究</t>
  </si>
  <si>
    <t>217</t>
  </si>
  <si>
    <t>高可靠全光纤高压电能计量装置关键技术研究</t>
  </si>
  <si>
    <t>1.基于电光聚合物与相位-强度调制的高稳定全光纤电压测量关键技术研究
2.基于器件异构集成与算法协同复用的三相一体化光纤电流测量关键技术研究
3.全光纤高压电能计量装置一体化集成与宽频宽动态电能计量关键技术研究
4.全光纤高压电能计量装置可靠性提升技术研究及示范应用</t>
  </si>
  <si>
    <t>218</t>
  </si>
  <si>
    <t>面向绿电协同感知的度电赋码及碳计量关键技术研究</t>
  </si>
  <si>
    <t>1.适用于全类型可再生能源的度电计量技术研究
2.绿色电力分时段匹配及全链路物理溯源技术研究
3.基于度电赋码的用电碳排放计量技术研究
4.绿电全链路精准度量赋码与流通交互服务软件架构研究</t>
  </si>
  <si>
    <t>219</t>
  </si>
  <si>
    <t>氮化镓量子阱电流测量关键技术研究及应用</t>
  </si>
  <si>
    <t>1.氮化镓异质结构与高性能量子磁测量模组研制
2.高准确度氮化镓电流测量方法与技术研究
3.宽频宽量程氮化镓电流互感器装备研制
4.氮化镓量子阱电流互感器性能评价与应用研究</t>
  </si>
  <si>
    <t>220</t>
  </si>
  <si>
    <t>智能电能表耦合失效机理分析与质量风险预警关键技术研究</t>
  </si>
  <si>
    <t>1.智能电能表元器件失效机理与建模技术
2.智能电能表整机失效关联分析与知识图谱构建技术
3.智能电能表批次剩余寿命预测与状态评估技术
4.智能电能表群体故障预警与运维决策支持技术</t>
  </si>
  <si>
    <t>221</t>
  </si>
  <si>
    <t>能源电力可信数据空间多主体数据安全共享协同关键技术研究</t>
  </si>
  <si>
    <t>1.能源电力可信数据空间分层互联安全架构研究
2.多主体交互可信认证与安全计算环境研究
3.轻量化高效隐私保护计算与建模技术研究
4.数据跨主体共享泄漏溯源分析技术研究
5.能源电力可信数据空间典型应用验证</t>
  </si>
  <si>
    <t>222</t>
  </si>
  <si>
    <t>面向配用电终端的安全智能高可靠基础软件栈技术研究</t>
  </si>
  <si>
    <t>1.面向配用电终端的基础软件栈体系框架研究
2.基于中间件的配用电终端数据语义贯通与互操作技术研究
3.配用电终端基础软件栈安全防护与可靠运行技术研究
4.云边端协同的配用电终端边缘智能计算技术研究</t>
  </si>
  <si>
    <t>223</t>
  </si>
  <si>
    <t>电网数据资源价值评估与资产动态定价关键技术研究及应用</t>
  </si>
  <si>
    <t>1.电网数据资源价值转化机理研究
2.电网数据要素乘数效应的经济价值评价体系与实证测算技术研究
3.面向多方博弈均衡的数据资产定价模型与策略研究
4.基于市场反馈的电力数据动态定价闭环优化策略研究
5.电网数据资源价值评估与资产动态定价平台原型系统研究与应用验证</t>
  </si>
  <si>
    <t>224</t>
  </si>
  <si>
    <t>电力信息系统智能运维资源投入度量方法与自适应优化技术研究</t>
  </si>
  <si>
    <t>1.复杂电力信息系统智能运维特征机理与关联映射技术研究
2.基于层次化决策算法的系统运维规模量测技术研究
3.动态运维费用测算及资源均衡优化方法研究
4.面向智能运维的资源投入度量平台框架研究</t>
  </si>
  <si>
    <t>225</t>
  </si>
  <si>
    <t>互联网空间电力数据隐性泄露风险治理技术研究</t>
  </si>
  <si>
    <t>1.电力数据关联推断模型与隐性泄露风险机理研究
2.互联网空间多模态涉电数据专用搜索技术研究
3.互联网空间电力数据隐性泄露风险识别与溯源技术研究
4.电力数据隐性泄露风险源头干扰及主动对抗技术研究
5.互联网空间电力数据隐性泄露风险治理技术应用研究</t>
  </si>
  <si>
    <t>226</t>
  </si>
  <si>
    <t>面向电力监控系统的多智能体协同安全认知与自主响应关键技术研究</t>
  </si>
  <si>
    <t>1.智能驱动的电力监控系统网络空间资产测绘与资产识别技术研究
2.面向电力监控系统的智能化网络安全动态评估技术研究
3.面向电力监控系统威胁智能检测的数据增强与可解释性技术研究
4.面向电力监控系统的安全事件溯源分析与智能处置技术研究</t>
  </si>
  <si>
    <t>227</t>
  </si>
  <si>
    <t>支撑电力业务专业大模型构建的多方训练数据保护技术研究</t>
  </si>
  <si>
    <t>1.电力业务专业大模型多方联合安全训练架构研究
2.专业大模型多方训练样本数据隐私增强技术研究
3.支撑大模型优化的分布式安全微调技术研究
4.多方联合场景下的专业大模型安全训练应用研究</t>
  </si>
  <si>
    <t>228</t>
  </si>
  <si>
    <t>电力监控系统信息物理跨域风险动态评估及安全防护关键技术研究</t>
  </si>
  <si>
    <t>1.电力监控系统信息物理协同风险动态评估与防护体系研究
2.新型电力系统涉控终端的动态安全防护技术研究
3.面向电力监控系统信息物理跨域威胁协同防护技术研究
4.电力监控系统信息物理威胁动态评估与安全防护原型研制及验证</t>
  </si>
  <si>
    <t>229</t>
  </si>
  <si>
    <t>面向营销2.0的智能体应用安全防护关键技术研究</t>
  </si>
  <si>
    <t>1.面向营销2.0的智能体应用风险建模和防护框架研究
2.智能体多主体交互过程安全增强技术研究
3.智能体自主规划过程异常识别与校准技术研究
4.营销2.0智能体应用安全防护技术验证</t>
  </si>
  <si>
    <t>230</t>
  </si>
  <si>
    <t>面向分布式资源聚合交互的安全防护技术研究</t>
  </si>
  <si>
    <t>1.分布式资源调控设备本体安全防御技术研究
2.分布式资源数据可信采集与安全交互技术研究
3.分布式资源调控指令可信执行技术研究
4.面向分布式资源聚合交互的安全防护服务研发</t>
  </si>
  <si>
    <t>231</t>
  </si>
  <si>
    <t>多场景适配的配电网规划数字孪生建模与动态评估技术研究</t>
  </si>
  <si>
    <t>1.数据-机理驱动的配电网数字孪生建模技术研究
2.多尺度耦合的配电网规划要素协同优化技术研究
3.多场景适配的配电网时序演化与智能修正技术研究
4.配电网规划数字孪生建模与动态评估原型系统研发及试点验证</t>
  </si>
  <si>
    <t>232</t>
  </si>
  <si>
    <t>面向主网调度运行故障处置的大模型推理技术研究与应用</t>
  </si>
  <si>
    <t>1.面向调度故障处置的机理知识库构建与动态更新技术
2.融合调度业务规则的大模型思维链构建与自主推理技术
3.业务机理强化的大模型多源知识检索与精准匹配技术
4.电网调度人工智能风险源多维识别与推理结果可信度评价技术
5.研究模型-数据混合驱动的调度操作辅助决策技术</t>
  </si>
  <si>
    <t>233</t>
  </si>
  <si>
    <t>复杂场景下输电巡检装备自主作业动态建模与决策技术研究</t>
  </si>
  <si>
    <t>1.面向输电线路巡检的复杂场景构建与感知增强技术研究
2.输电巡检装备全自主导航与路径规划动态建模技术研究
3.输电线路巡视检修的智能装备自主协同与精准控制技术研究
4.典型输电场景下的智能装备示范性应用验证</t>
  </si>
  <si>
    <t>234</t>
  </si>
  <si>
    <t>电力具身机器人变配电空间智能与可靠作业关键技术研究与应用</t>
  </si>
  <si>
    <t>1.基于虚实结合的变配电具身智能机器人数据生成技术研究
2.基于多源数据融合的变配电运维智能体设计方法研究
3.基于空间智能的机器人移动轨迹生成与可靠性推演技术研究
4.主动交互增强的变配电运维机器人可靠作业模型构建技术研究
5.自主可控变配电运维机器人系统边端轻量化集成与示范应用</t>
  </si>
  <si>
    <t>235</t>
  </si>
  <si>
    <t>省地县多级调度运行优化的多智能体协同关键技术研究</t>
  </si>
  <si>
    <t>1.面向省地县多级调度的可解释思维链数据集与机理模型库构建技术研究
2.面向多级调度运行优化任务的专业推理大模型后训练强化技术研究
3.大小模型融合的多级调度日前日内自适应优化加速与多智能体自主协作技术研究
4.基于高性能计算体系的分层高效协同优化与智能体可信评估技术研究
5.面向省地县协同多级调度运行的智能辅助决策技术验证及应用</t>
  </si>
  <si>
    <t>236</t>
  </si>
  <si>
    <t>混合直流换流阀部件级多模态状态感知与智能预警技术及应用</t>
  </si>
  <si>
    <t>1.换流阀失效演变规律分析和有限量测下状态感知技术研究
2.换流阀失效机理与数据模型混合驱动的状态研判技术研究
3.面向多模态信息融合的换流阀风险评估与智能预警技术研究
4.基于运行试验系统的换流阀本体关键部件状态智能分析模型验证
5.面向换流阀运维场景的智能分析软件体系构建及应用验证</t>
  </si>
  <si>
    <t>237</t>
  </si>
  <si>
    <t>配网检修计划全链条决策的人机增强生成式智能体关键技术研究与应用</t>
  </si>
  <si>
    <t>1.基于业务知识强化的配网检修计划编制智能体构建技术研究
2.基于思维链推理与逻辑校验的配网检修智能体可解释能力优化技术研究
3.基于人类反馈在线趋优的配网检修智能体决策生成合规性提升技术研究
4.面向配网检修计划全链条决策的人机混合增强生成式智能体应用验证</t>
  </si>
  <si>
    <t>238</t>
  </si>
  <si>
    <t>面向需求侧市场主体的多智能体协同调控和柔性交易关键技术研究</t>
  </si>
  <si>
    <t>1.面向多元化市场主体的智能体可信表征和安全验证技术研究
2.基于大模型预训练知识迁移和任务编排的智能体训练加速技术研究
3.面向需求侧多市场主体的分布式可调节能源智能调度与博弈决策技术研究
4.面向需求侧市场主体的多智能体协同调控和灵活资源交易系统研发与应用研究</t>
  </si>
  <si>
    <t>239</t>
  </si>
  <si>
    <t>1.“双高”电力系统动态参量测量失真机理与协同评估方法研究
2.物理约束-数据驱动融合的惯量.阻尼监测技术研究
3.复杂场景下电网动态参量高精度测量技术与装置研制
4.跨区域多层级系统动态参量校准与数据融合技术研究
5.支撑电网安全稳定运行的动态参量多层级协同测量平台研究及工程验证</t>
  </si>
  <si>
    <t>240</t>
  </si>
  <si>
    <t>241</t>
  </si>
  <si>
    <t>提升新能源消纳能力的新型电力系统电-热-氢-X耦合系统复杂规划分析技术及应用研究</t>
  </si>
  <si>
    <t>能源战略组</t>
  </si>
  <si>
    <t>1.“双碳”目标下新型电-热-氢-X多元耦合能源系统应用场景及演化形态研究
2.考虑耦合系统复杂不确定性的中长期新能源消纳率模拟预测及合理利用率评估技术研究
3.面向新能源跨系统高效消纳的电-热-氢耦合系统复杂规划技术研究
4.考虑电-热-氢-X多业态耦合的新能源消纳模拟及复杂系统规划软件及应用验证研究</t>
  </si>
  <si>
    <t>242</t>
  </si>
  <si>
    <t>基于区域国别学的国别能源电力市场分析与区域能源治理关键技术研究</t>
  </si>
  <si>
    <t>1.区域国别学理论构建与跨国政策比较方法论研究
2.重点国家能源电力市场投资潜力与投资规划量化评价模型及应用
3.重点国家重大风险事件在线监测与风险预警关键技术研究
4.区域能源治理功能评价及企业影响力评估关键技术研究</t>
  </si>
  <si>
    <t>243</t>
  </si>
  <si>
    <t>适应多周期气象风险的电力低碳演化路径规划关键技术研究</t>
  </si>
  <si>
    <t>1.计及气象极端态全时空演变的源荷模拟推演技术研究
2.面向不同周期多类型气象风险的电力保供潜力评估技术研究
3.考虑跨周期协同平衡与极端气象保供的电力低碳演化路径规划技术研究
4.适应多周期气象风险的电力低碳演化路径规划仿真平台研发与应用</t>
  </si>
  <si>
    <t>244</t>
  </si>
  <si>
    <t>新型电力系统多主体行为分析与市场化运行仿真关键技术研究</t>
  </si>
  <si>
    <t>1.新型电力市场多主体行为特征识别关键技术研究
2.数据驱动的新型电力市场多主体博弈行为研究与建模分析
3.新型电力市场多主体价值贡献评估与风险预警技术研究
4.基于多主体交互行为的新型电力市场化运行仿真技术及应用验证</t>
  </si>
  <si>
    <t>245</t>
  </si>
  <si>
    <t>大语言模型驱动的能源电力软科学知识库构建与政策智能决策辅助关键技术研究</t>
  </si>
  <si>
    <t>1.面向能源电力领域的多模态数据融合与知识库构建技术研究
2.能源电力政策信息文本溯源分析技术研究
3.能源电力技术发展评估与趋势模拟技术研究
4.面向典型场景的能源电力软科学智能分析平台构建与应用研究</t>
  </si>
  <si>
    <t>246</t>
  </si>
  <si>
    <t>面向新一轮国家自主贡献目标的公司科技规划实施与重大技术领域布局辅助决策技术</t>
  </si>
  <si>
    <t xml:space="preserve">1.公司科技规划多目标平衡制定及关键目标多层级分解技术研究
2.新型电力系统构建的多元发展场景提取和重大功能需求识别技术研究
3.新型电力系统技术领域顶层设计方法和关键技术布局研究
</t>
  </si>
  <si>
    <t>247</t>
  </si>
  <si>
    <t>面向跨域协同与行业耦合的能源电力系统梯次达峰路径优化关键技术研究</t>
  </si>
  <si>
    <t>1.能源-经济-环境-治理复杂系统的结构表征与政策传导机理研究
2.多目标耦合的能源系统区域协同转型机制及路径优化研究
3.考虑区域协同的电力系统差异达峰协同中和路径及策略研究
4.面向跨域协同与行业耦合的能源电力系统梯次转型平台研发与应用</t>
  </si>
  <si>
    <t>248</t>
  </si>
  <si>
    <t>机器学习+机理驱动的多能源系统运行模拟智能辅助决策关键技术</t>
  </si>
  <si>
    <t>1.新型电力系统典型/极端场景特征辨识与扩展生成技术研究
2.新型电力系统海量场景与系统关键运行指标特征关系及映射识别技术研究
3.“机器学习+机理驱动”的运行模拟及新能源消纳能力提升智能决策技术研究
4.面向保供和消纳能力提升的系统经济性智能评估方法</t>
  </si>
  <si>
    <t>249</t>
  </si>
  <si>
    <t>高影响气象事件对新型电力系统供需影响机理与延伸期风险预警关键技术研究</t>
  </si>
  <si>
    <t>能源电力经济</t>
  </si>
  <si>
    <t>1.高影响气象事件对新型电力系统供需影响机理深化研究
2.延伸期等效电力气象指标体系构建与精细化预测技术研究
3.考虑高影响气象事件的延伸期水风光出力与负荷智能预测技术研究
4.高影响气象事件下延伸期新型电力系统供需风险预警技术研究与模块研发</t>
  </si>
  <si>
    <t>250</t>
  </si>
  <si>
    <t>基于多智能体协同的经济-能源-电力-环境政策模拟技术及应用</t>
  </si>
  <si>
    <t>1.市场化改革背景下经济和能源政策对行业和部门影响机理研究
2.考虑市场机制和政策影响的多部门智能体构建技术研究
3.基于经济-能源-电力-环境系统架构的多智能体协同模拟技术研究
4.基于多智能体模型的政策模拟模块研发及应用</t>
  </si>
  <si>
    <t>251</t>
  </si>
  <si>
    <t>基于产业链关联特性的典型行业用电传导机制解析与智能可解释性预测技术及应用</t>
  </si>
  <si>
    <t>1.产业链上企业联动与传导机理特征的识别与刻画技术研究
2.产业链上企业用电需求可解释性预测技术研究
3.面向产业链强度的风险评估预警技术研究
4.基于公司用电需求分析平台的功能设计及应用</t>
  </si>
  <si>
    <t>252</t>
  </si>
  <si>
    <t>要素-行为双驱动下农村能源新业态推演及运行优化关键技术研究</t>
  </si>
  <si>
    <t>1.农村能源新业态驱动因素及衍生机理研究
2.计及主体行为的农村需求侧资源聚合模式及可调潜力动态评估技术研究
3.要素-行为双驱动下农村能源新业态配置及运行优化关键技术研究
4.农村能源新业态推演及运行优化平台开发与验证</t>
  </si>
  <si>
    <t>253</t>
  </si>
  <si>
    <t>支撑人工智能产业绿色发展的电-算-碳协同关键技术及多市场引导决策仿真研究</t>
  </si>
  <si>
    <t>1.面向大规模人工智能训练/推理业务的负荷特性演化方法
2.考虑多模式供能的智算中心与电网友好互动技术与配套机制
3.支撑大规模智算负荷友好接入的电-算-碳多市场协同机制
4.面向智算中心友好接入的多市场模拟推演与多维评估模块研发</t>
  </si>
  <si>
    <t>254</t>
  </si>
  <si>
    <t>电-碳协同下多主体减碳资源配置和交易决策优化关键技术研究</t>
  </si>
  <si>
    <t>电碳协同</t>
  </si>
  <si>
    <t>1.电碳融合业务市场潜力分析模型构建与规模预测
2.电碳融合业务运营模式设计与盈利水平评估技术研究
3.面向零碳低碳新业态的电碳融合业务实施方案设计与典型场景应用
4.公司电碳融合业务决策支持系统开发与示范应用</t>
  </si>
  <si>
    <t>255</t>
  </si>
  <si>
    <t>电碳融合业务市场分析与运营模式关键技术研究及应用</t>
  </si>
  <si>
    <t>1.零碳智慧电网发展模式与规划技术研究
2.零碳智慧电网低碳运营与成本效益分析技术研究
3.零碳智慧电网碳核算与认证方法研究
4.零碳智慧电网规划-运营-核算-认证-成本-电价一体化系统开发及应用</t>
  </si>
  <si>
    <t>256</t>
  </si>
  <si>
    <t>碳双控背景下电力市场主导的电-碳-证多市场联合仿真关键技术研究及应用</t>
  </si>
  <si>
    <t>电力市场与定价</t>
  </si>
  <si>
    <t>1.电力市场主导下面向典型行业的电-碳-证市场衔接协同机制研究
2.电-碳-证耦合市场下典型高耗能行业与电力市场互动仿真技术研究
3.协同电力市场的小时级绿电绿证环境价值跨电-碳-证市场溯源认证技术研究
4.电-碳-证耦合市场下计及典型高耗能行业参与的电力市场运行评估技术研究</t>
  </si>
  <si>
    <t>257</t>
  </si>
  <si>
    <t>新型电力系统下省间多市场协同交易理论与关键技术研究</t>
  </si>
  <si>
    <t>1.省间多时间尺度电力市场协同运营理论与建模方法研究
2.用户侧海量异构资源参与省间市场行为分析与交易机制研究
3.促进区域内省间电力互济的交易模式设计与运营技术研究
4.省间-省内电力市场协同演化模式与优化出清技术研究</t>
  </si>
  <si>
    <t>258</t>
  </si>
  <si>
    <t>基于“三型一流”数智财务的资源配置智能决策技术研究</t>
  </si>
  <si>
    <t>1.基于“三型一流”数智财务的价值图谱理论与技术研究
2.基于电网智慧运营数据的资源配置智能决策技术研究
3.计及多因素复杂环境下市场化融资利率预测模型构建及应用
4.适配新型电力系统建设需求的智能融资决策技术研究与应用</t>
  </si>
  <si>
    <t>259</t>
  </si>
  <si>
    <t>考虑多时空耦合的全国统一电力市场一体化运营关键技术研究及应用</t>
  </si>
  <si>
    <t>1.全国统一电力市场标准化运作机制和技术体系框架研究
2.计及多时空耦合的电力市场价格形成机制与竞价机理研究
3.面向现货市场全覆盖的电力中长期市场标准化交易模式及出清模型研究
4.全国统一电力市场标准化设计与一体化运营仿真分析软件研发及应用</t>
  </si>
  <si>
    <t>260</t>
  </si>
  <si>
    <t>基于人工智能的电力市场风险监测与防控应用技术研究</t>
  </si>
  <si>
    <t>1.适应多元新型主体和全市场品种的统一电力市场数据特征联合提取技术研究
2.融合全国统一电力市场规则的电力交易运营风险监测智能体构建技术研究
3.电力市场风险预警与智能决策支持技术研究
4.电力市场风险监测与防控智能化平台研发与应用</t>
  </si>
  <si>
    <t>261</t>
  </si>
  <si>
    <t>面向省域新型电力系统的调节需求推演及价格形成关键技术研究</t>
  </si>
  <si>
    <t>1.省域新型电力系统调节需求特征评估与未来需求推演技术研究
2.省域聚合型调节资源时空响应能力测度与仿真技术研究
3.省域新型电力系统调节资源成本优化技术研究
4.适应省域电力系统的新型调节资源时空定价技术与效果仿真研究</t>
  </si>
  <si>
    <t>262</t>
  </si>
  <si>
    <t>适应高比例新能源的调节容量市场机制设计、关键技术研究与仿真验证</t>
  </si>
  <si>
    <t>1.促进新能源与调节资源协同发展的调节能力市场激励机制研究
2.泛主体长周期多场景调节容量市场协同优化出清模型与高效求解技术研究
3.大小模型协同驱动的新型电力系统长周期调节容量市场优化运营技术研究
4.考虑系统调节成本传导的全品种电力市场综合运营推演技术研究及评估验证</t>
  </si>
  <si>
    <t>263</t>
  </si>
  <si>
    <t>电力市场量化规划理论及省级市场量化分析工具研究</t>
  </si>
  <si>
    <t>1.电力市场量化规划理论研究
2.省级电力市场“十五五”规划评价指标量化建模
3.多场景下省级电力市场“十五五”发展路径推演
4.省级电力市场量化规划工具开发</t>
  </si>
  <si>
    <t>264</t>
  </si>
  <si>
    <t>能源电力行业多主体协同创新演进机理、绩效评估及提升路径研究</t>
  </si>
  <si>
    <t>技术经济与产业链创新链</t>
  </si>
  <si>
    <t>1.能源电力行业多元主体协同创新演进机理及模式研究
2.能源电力行业多元主体协同创新绩效评估及关键影响因素识别技术研究
3.多元主体协同创新情景下公司带动能力评估技术研究</t>
  </si>
  <si>
    <t>265</t>
  </si>
  <si>
    <t>特高压及直流工程造价风险防控与韧性提升技术</t>
  </si>
  <si>
    <t>1.特高压及直流工程造价风险因子动态识别与量化技术
2.规模化建设场景下特高压及直流工程造价风险平抑技术
3.适应特高压技术创新应用的工程降本潜力挖掘及造价管控优化技术
4.计及多重风险的特高压及直流工程经济评价与造价韧性提升技术</t>
  </si>
  <si>
    <t>266</t>
  </si>
  <si>
    <t>新能源富集地区多形态高载能负荷的协同调节与预演增效技术</t>
  </si>
  <si>
    <t>1.新能源富集地区多形态高载能负荷的运行特性表征与动态建模技术研究
2.多形态高载能负荷的调节潜能挖掘与多场景适配技术研究
3.高载能负荷多尺度协同运行优化与技术经济仿真技术
4.市场与政策演化下多形态高载能负荷调节的自适应预演与互动增效技术</t>
  </si>
  <si>
    <t>267</t>
  </si>
  <si>
    <t>基于数据驱动的公司战略管控体系理论深化及战略全过程推演决策支持模型研究</t>
  </si>
  <si>
    <t>1.战略管控体系关键影响因素和作用机理技术
2.战略规划计划预算考核协同优化和仿真推演技术
3.电网企业战略实施风险多维矩阵量化和预警技术
4.电网企业战略管控体系运行成效量化评价技术</t>
  </si>
  <si>
    <t>268</t>
  </si>
  <si>
    <t>关键电工装备供应链网络状态仿真与运营效果优化技术</t>
  </si>
  <si>
    <t>1.关键电工装备供应链网络建模与运营场景仿真技术研究
2.关键电工装备供应链全环节运营绩效评估与扰动因素识别技术研究
3.基于供应链仿真网络的运营策略效果推演与决策优化技术</t>
  </si>
  <si>
    <t>269</t>
  </si>
  <si>
    <t>基于功能使命驱动的公司业务优化关键技术及运用</t>
  </si>
  <si>
    <t>1.国有企业履行功能使命的范式及量化评价技术研究
2.电网企业履行功能使命的成效评价技术研究
3.多元耦合视角下公司业务发展优化技术研究</t>
  </si>
  <si>
    <t>270</t>
  </si>
  <si>
    <t>基于多智能体协同的智能审计关键技术研究及应用</t>
  </si>
  <si>
    <t>1.多源审计数据动态语义融合与知识关联建模技术研究
2.基于思维链与反思行动智能体框架的可解释审计问题定位推理技术研究
3.基于深度学习的审计文档生成和合规性自检测技术研究
4.人机协同的全链路审计业务智能体调度系统构建及示范应用</t>
  </si>
  <si>
    <t>271</t>
  </si>
  <si>
    <t>基于多智能体协同推理的科技项目审查与量化评估关键技术研究</t>
  </si>
  <si>
    <t>1.基于多模态融合的科技项目资料结构化解析与抽取技术研究
2.基于大模型与群体智能融合的科技项目需求辅助评审技术研究
3.基于多智能体协同推理的科技项目智能审查及量化评估技术研究
4.科技项目全过程资料智能审核工具开发及试点应用</t>
  </si>
  <si>
    <t>272</t>
  </si>
  <si>
    <t>支撑算电协同布局的电网投资决策优化关键技术研究</t>
  </si>
  <si>
    <t>1.面向算电一体化布局的多维价值评估与电网投资效益量化方法
2.考虑算力负荷增长不确定性的电网刚性投资需求预测与成本传导机制
3.提升算力电力时空适配度的电网最优经济投资策略与优化算法
4.支撑算力电力多场景互动的电网投资辅助决策支持平台研发与验证</t>
  </si>
  <si>
    <t>273</t>
  </si>
  <si>
    <t>面向新型电力系统双链融合的知识产权运营及产业化关键技术研究</t>
  </si>
  <si>
    <t>1.基于新型电力系统根技术动态监测与决策支撑的知识产权运营与产业化需求分析研究及运用
2.基于科研投入产出最优区间的知识产权运营标的定价模型研究及运用
3.重点产业专利池建设及知识产权运营中心集群建设与协同发展研究
4.基于多维价值的知识产权运营及产业化成效评估体系研究及应用</t>
  </si>
  <si>
    <t>274</t>
  </si>
  <si>
    <t>高比例光伏接入下农村电网韧性提升的技术经济解析及投入效能优化技术研究</t>
  </si>
  <si>
    <t>1.高比例光伏接入下农村电网韧性状态解析技术研究
2.典型技术路线下农村电网韧性提升投资与成本量化技术研究
3.计及多源主体博弈的农村电网资产投入效能评价技术研究
4.资本与成本协同的农村电网资产投入决策优化技术研究</t>
  </si>
  <si>
    <t>275</t>
  </si>
  <si>
    <t>基于认知融合的公司规划智能决策与反馈调节技术研究</t>
  </si>
  <si>
    <t>1.面向公司规划的多模态大数据融合与知识建模方法研究
2.基于执行链动态推演的公司规划智能决策技术研究
3.混合智能驱动的公司规划目标执行动态评价方法研究
4.面向多专业的规划项目执行风险诊断与反馈调节技术研究</t>
  </si>
  <si>
    <t>276</t>
  </si>
  <si>
    <t>构网型新能源场站多设备配置及协同运行控制关键技术与标准研究</t>
  </si>
  <si>
    <t>1.构网型新能源场站配置技术研究
2.构网型新能源场站协同控制技术研究
3.新能源场站构网型装备互操作技术研究
4.构网型新能源场站多设备配置与协同运行控制标准化体系构建及验证</t>
  </si>
  <si>
    <t>277</t>
  </si>
  <si>
    <t>标准促进电力行业科技创新与产业创新融合的作用机制、水平测度及提升策略研究</t>
  </si>
  <si>
    <t>1.标准促进电力行业科产融合的影响机理和作用机制研究
2.标准促进电力行业科产融合的贡献测度建模技术研究
3.公司发挥标准作用提升电力行业科产融合的策略研究</t>
  </si>
  <si>
    <t>278</t>
  </si>
  <si>
    <t>绿电绿证碳减排价值挖掘与国际认可标准化关键问题研究</t>
  </si>
  <si>
    <t>1.绿电绿证政策机制与国际互认障碍识别研究
2.绿证碳抵扣核算模型与减排价值挖掘研究
3.绿电绿证标准国际化路径与标准体系布局研究</t>
  </si>
</sst>
</file>

<file path=xl/styles.xml><?xml version="1.0" encoding="utf-8"?>
<styleSheet xmlns="http://schemas.openxmlformats.org/spreadsheetml/2006/main">
  <numFmts count="7">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_ "/>
  </numFmts>
  <fonts count="57">
    <font>
      <sz val="11"/>
      <color theme="1"/>
      <name val="宋体"/>
      <charset val="134"/>
      <scheme val="minor"/>
    </font>
    <font>
      <sz val="11"/>
      <name val="仿宋"/>
      <charset val="134"/>
    </font>
    <font>
      <sz val="10"/>
      <name val="仿宋"/>
      <charset val="134"/>
    </font>
    <font>
      <sz val="10"/>
      <name val="宋体"/>
      <charset val="134"/>
    </font>
    <font>
      <sz val="18"/>
      <name val="黑体"/>
      <charset val="134"/>
    </font>
    <font>
      <b/>
      <sz val="22"/>
      <name val="方正小标宋简体"/>
      <charset val="134"/>
    </font>
    <font>
      <b/>
      <sz val="12"/>
      <color rgb="FF000000"/>
      <name val="仿宋"/>
      <charset val="134"/>
    </font>
    <font>
      <b/>
      <sz val="12"/>
      <name val="仿宋"/>
      <charset val="134"/>
    </font>
    <font>
      <sz val="12"/>
      <name val="仿宋"/>
      <charset val="134"/>
    </font>
    <font>
      <sz val="12"/>
      <color rgb="FF000000"/>
      <name val="仿宋"/>
      <charset val="134"/>
    </font>
    <font>
      <sz val="10"/>
      <name val="Times New Roman"/>
      <charset val="0"/>
    </font>
    <font>
      <b/>
      <sz val="16"/>
      <name val="Times New Roman"/>
      <charset val="0"/>
    </font>
    <font>
      <b/>
      <sz val="18"/>
      <name val="宋体"/>
      <charset val="134"/>
    </font>
    <font>
      <sz val="10"/>
      <color rgb="FFFF0000"/>
      <name val="仿宋"/>
      <charset val="134"/>
    </font>
    <font>
      <sz val="11"/>
      <name val="宋体"/>
      <charset val="134"/>
      <scheme val="minor"/>
    </font>
    <font>
      <sz val="11"/>
      <color theme="1"/>
      <name val="仿宋"/>
      <charset val="134"/>
    </font>
    <font>
      <sz val="18"/>
      <name val="仿宋"/>
      <charset val="134"/>
    </font>
    <font>
      <b/>
      <sz val="16"/>
      <name val="仿宋"/>
      <charset val="134"/>
    </font>
    <font>
      <b/>
      <sz val="12"/>
      <color rgb="FFFF0000"/>
      <name val="仿宋"/>
      <charset val="134"/>
    </font>
    <font>
      <b/>
      <sz val="22"/>
      <color rgb="FFFF0000"/>
      <name val="仿宋"/>
      <charset val="134"/>
    </font>
    <font>
      <b/>
      <sz val="20"/>
      <color rgb="FFFF0000"/>
      <name val="仿宋"/>
      <charset val="134"/>
    </font>
    <font>
      <b/>
      <sz val="18"/>
      <color rgb="FFFF0000"/>
      <name val="仿宋"/>
      <charset val="134"/>
    </font>
    <font>
      <sz val="12"/>
      <color rgb="FFFF0000"/>
      <name val="仿宋"/>
      <charset val="134"/>
    </font>
    <font>
      <sz val="11"/>
      <name val="方正小标宋简体"/>
      <charset val="134"/>
    </font>
    <font>
      <b/>
      <sz val="12"/>
      <name val="宋体"/>
      <charset val="134"/>
    </font>
    <font>
      <b/>
      <sz val="20"/>
      <color rgb="FFFF0000"/>
      <name val="宋体"/>
      <charset val="134"/>
    </font>
    <font>
      <b/>
      <sz val="14"/>
      <color rgb="FFFF0000"/>
      <name val="宋体"/>
      <charset val="134"/>
    </font>
    <font>
      <sz val="12"/>
      <name val="宋体"/>
      <charset val="134"/>
    </font>
    <font>
      <sz val="12"/>
      <color theme="1"/>
      <name val="Times New Roman"/>
      <charset val="0"/>
    </font>
    <font>
      <b/>
      <sz val="22"/>
      <name val="仿宋"/>
      <charset val="134"/>
    </font>
    <font>
      <sz val="12"/>
      <color rgb="FFFF0000"/>
      <name val="宋体"/>
      <charset val="134"/>
    </font>
    <font>
      <b/>
      <sz val="16"/>
      <name val="宋体"/>
      <charset val="134"/>
      <scheme val="minor"/>
    </font>
    <font>
      <sz val="11"/>
      <name val="宋体"/>
      <charset val="134"/>
    </font>
    <font>
      <sz val="16"/>
      <name val="仿宋"/>
      <charset val="134"/>
    </font>
    <font>
      <sz val="11"/>
      <color theme="0"/>
      <name val="宋体"/>
      <charset val="134"/>
      <scheme val="minor"/>
    </font>
    <font>
      <b/>
      <sz val="11"/>
      <color theme="1"/>
      <name val="宋体"/>
      <charset val="134"/>
      <scheme val="minor"/>
    </font>
    <font>
      <sz val="11"/>
      <color rgb="FF9C0006"/>
      <name val="宋体"/>
      <charset val="134"/>
      <scheme val="minor"/>
    </font>
    <font>
      <b/>
      <sz val="11"/>
      <color rgb="FFFA7D00"/>
      <name val="宋体"/>
      <charset val="134"/>
      <scheme val="minor"/>
    </font>
    <font>
      <i/>
      <sz val="11"/>
      <color rgb="FF7F7F7F"/>
      <name val="宋体"/>
      <charset val="134"/>
      <scheme val="minor"/>
    </font>
    <font>
      <b/>
      <sz val="11"/>
      <color theme="3"/>
      <name val="宋体"/>
      <charset val="134"/>
      <scheme val="minor"/>
    </font>
    <font>
      <u/>
      <sz val="11"/>
      <color rgb="FF800080"/>
      <name val="宋体"/>
      <charset val="134"/>
      <scheme val="minor"/>
    </font>
    <font>
      <b/>
      <sz val="11"/>
      <color rgb="FF3F3F3F"/>
      <name val="宋体"/>
      <charset val="134"/>
      <scheme val="minor"/>
    </font>
    <font>
      <b/>
      <sz val="15"/>
      <color theme="3"/>
      <name val="宋体"/>
      <charset val="134"/>
      <scheme val="minor"/>
    </font>
    <font>
      <sz val="11"/>
      <color rgb="FFFA7D00"/>
      <name val="宋体"/>
      <charset val="134"/>
      <scheme val="minor"/>
    </font>
    <font>
      <b/>
      <sz val="18"/>
      <color theme="3"/>
      <name val="宋体"/>
      <charset val="134"/>
      <scheme val="minor"/>
    </font>
    <font>
      <u/>
      <sz val="11"/>
      <color rgb="FF0000FF"/>
      <name val="宋体"/>
      <charset val="134"/>
      <scheme val="minor"/>
    </font>
    <font>
      <sz val="11"/>
      <color rgb="FF3F3F76"/>
      <name val="宋体"/>
      <charset val="134"/>
      <scheme val="minor"/>
    </font>
    <font>
      <sz val="11"/>
      <color rgb="FF006100"/>
      <name val="宋体"/>
      <charset val="134"/>
      <scheme val="minor"/>
    </font>
    <font>
      <sz val="10"/>
      <color theme="1"/>
      <name val="Arial"/>
      <charset val="0"/>
    </font>
    <font>
      <sz val="11"/>
      <color rgb="FF9C6500"/>
      <name val="宋体"/>
      <charset val="134"/>
      <scheme val="minor"/>
    </font>
    <font>
      <b/>
      <sz val="11"/>
      <color rgb="FFFFFFFF"/>
      <name val="宋体"/>
      <charset val="134"/>
      <scheme val="minor"/>
    </font>
    <font>
      <b/>
      <sz val="13"/>
      <color theme="3"/>
      <name val="宋体"/>
      <charset val="134"/>
      <scheme val="minor"/>
    </font>
    <font>
      <sz val="11"/>
      <color rgb="FFFF0000"/>
      <name val="宋体"/>
      <charset val="134"/>
      <scheme val="minor"/>
    </font>
    <font>
      <sz val="12"/>
      <color indexed="8"/>
      <name val="方正仿宋_GBK"/>
      <charset val="134"/>
    </font>
    <font>
      <sz val="12"/>
      <name val="Times New Roman"/>
      <charset val="0"/>
    </font>
    <font>
      <sz val="12"/>
      <color indexed="8"/>
      <name val="Times New Roman"/>
      <charset val="0"/>
    </font>
    <font>
      <sz val="12"/>
      <color indexed="8"/>
      <name val="仿宋"/>
      <charset val="134"/>
    </font>
  </fonts>
  <fills count="43">
    <fill>
      <patternFill patternType="none"/>
    </fill>
    <fill>
      <patternFill patternType="gray125"/>
    </fill>
    <fill>
      <patternFill patternType="solid">
        <fgColor theme="4" tint="0.799981688894314"/>
        <bgColor indexed="64"/>
      </patternFill>
    </fill>
    <fill>
      <patternFill patternType="solid">
        <fgColor theme="8" tint="0.799981688894314"/>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theme="9" tint="0.399975585192419"/>
        <bgColor indexed="64"/>
      </patternFill>
    </fill>
    <fill>
      <patternFill patternType="solid">
        <fgColor rgb="FF00B0F0"/>
        <bgColor indexed="64"/>
      </patternFill>
    </fill>
    <fill>
      <patternFill patternType="solid">
        <fgColor rgb="FF92D050"/>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7" tint="0.799951170384838"/>
        <bgColor indexed="64"/>
      </patternFill>
    </fill>
    <fill>
      <patternFill patternType="solid">
        <fgColor theme="6"/>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8" tint="0.399945066682943"/>
        <bgColor indexed="64"/>
      </patternFill>
    </fill>
    <fill>
      <patternFill patternType="solid">
        <fgColor theme="5"/>
        <bgColor indexed="64"/>
      </patternFill>
    </fill>
    <fill>
      <patternFill patternType="solid">
        <fgColor rgb="FFFFC7CE"/>
        <bgColor indexed="64"/>
      </patternFill>
    </fill>
    <fill>
      <patternFill patternType="solid">
        <fgColor theme="8"/>
        <bgColor indexed="64"/>
      </patternFill>
    </fill>
    <fill>
      <patternFill patternType="solid">
        <fgColor theme="5"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399945066682943"/>
        <bgColor indexed="64"/>
      </patternFill>
    </fill>
    <fill>
      <patternFill patternType="solid">
        <fgColor theme="7"/>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theme="9"/>
        <bgColor indexed="64"/>
      </patternFill>
    </fill>
    <fill>
      <patternFill patternType="solid">
        <fgColor theme="7" tint="0.399945066682943"/>
        <bgColor indexed="64"/>
      </patternFill>
    </fill>
    <fill>
      <patternFill patternType="solid">
        <fgColor theme="6" tint="0.399945066682943"/>
        <bgColor indexed="64"/>
      </patternFill>
    </fill>
    <fill>
      <patternFill patternType="solid">
        <fgColor rgb="FFFFCC99"/>
        <bgColor indexed="64"/>
      </patternFill>
    </fill>
    <fill>
      <patternFill patternType="solid">
        <fgColor theme="5" tint="0.799951170384838"/>
        <bgColor indexed="64"/>
      </patternFill>
    </fill>
    <fill>
      <patternFill patternType="solid">
        <fgColor theme="4"/>
        <bgColor indexed="64"/>
      </patternFill>
    </fill>
    <fill>
      <patternFill patternType="solid">
        <fgColor rgb="FFC6EFCE"/>
        <bgColor indexed="64"/>
      </patternFill>
    </fill>
    <fill>
      <patternFill patternType="solid">
        <fgColor theme="5" tint="0.399945066682943"/>
        <bgColor indexed="64"/>
      </patternFill>
    </fill>
    <fill>
      <patternFill patternType="solid">
        <fgColor theme="6" tint="0.799951170384838"/>
        <bgColor indexed="64"/>
      </patternFill>
    </fill>
    <fill>
      <patternFill patternType="solid">
        <fgColor rgb="FFFFEB9C"/>
        <bgColor indexed="64"/>
      </patternFill>
    </fill>
    <fill>
      <patternFill patternType="solid">
        <fgColor rgb="FFA5A5A5"/>
        <bgColor indexed="64"/>
      </patternFill>
    </fill>
    <fill>
      <patternFill patternType="solid">
        <fgColor theme="4" tint="0.39994506668294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1">
    <xf numFmtId="0" fontId="0" fillId="0" borderId="0">
      <alignment vertical="center"/>
    </xf>
    <xf numFmtId="42" fontId="0" fillId="0" borderId="0" applyFont="0" applyFill="0" applyBorder="0" applyAlignment="0" applyProtection="0">
      <alignment vertical="center"/>
    </xf>
    <xf numFmtId="0" fontId="0" fillId="39" borderId="0" applyNumberFormat="0" applyBorder="0" applyAlignment="0" applyProtection="0">
      <alignment vertical="center"/>
    </xf>
    <xf numFmtId="0" fontId="46" fillId="34"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23" borderId="0" applyNumberFormat="0" applyBorder="0" applyAlignment="0" applyProtection="0">
      <alignment vertical="center"/>
    </xf>
    <xf numFmtId="0" fontId="36" fillId="19" borderId="0" applyNumberFormat="0" applyBorder="0" applyAlignment="0" applyProtection="0">
      <alignment vertical="center"/>
    </xf>
    <xf numFmtId="43" fontId="0" fillId="0" borderId="0" applyFont="0" applyFill="0" applyBorder="0" applyAlignment="0" applyProtection="0">
      <alignment vertical="center"/>
    </xf>
    <xf numFmtId="0" fontId="34" fillId="33" borderId="0" applyNumberFormat="0" applyBorder="0" applyAlignment="0" applyProtection="0">
      <alignment vertical="center"/>
    </xf>
    <xf numFmtId="0" fontId="4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0" fillId="26" borderId="11" applyNumberFormat="0" applyFont="0" applyAlignment="0" applyProtection="0">
      <alignment vertical="center"/>
    </xf>
    <xf numFmtId="0" fontId="34" fillId="38" borderId="0" applyNumberFormat="0" applyBorder="0" applyAlignment="0" applyProtection="0">
      <alignment vertical="center"/>
    </xf>
    <xf numFmtId="0" fontId="39"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42" fillId="0" borderId="10" applyNumberFormat="0" applyFill="0" applyAlignment="0" applyProtection="0">
      <alignment vertical="center"/>
    </xf>
    <xf numFmtId="0" fontId="51" fillId="0" borderId="10" applyNumberFormat="0" applyFill="0" applyAlignment="0" applyProtection="0">
      <alignment vertical="center"/>
    </xf>
    <xf numFmtId="0" fontId="34" fillId="42" borderId="0" applyNumberFormat="0" applyBorder="0" applyAlignment="0" applyProtection="0">
      <alignment vertical="center"/>
    </xf>
    <xf numFmtId="0" fontId="39" fillId="0" borderId="13" applyNumberFormat="0" applyFill="0" applyAlignment="0" applyProtection="0">
      <alignment vertical="center"/>
    </xf>
    <xf numFmtId="0" fontId="34" fillId="32" borderId="0" applyNumberFormat="0" applyBorder="0" applyAlignment="0" applyProtection="0">
      <alignment vertical="center"/>
    </xf>
    <xf numFmtId="0" fontId="41" fillId="22" borderId="9" applyNumberFormat="0" applyAlignment="0" applyProtection="0">
      <alignment vertical="center"/>
    </xf>
    <xf numFmtId="0" fontId="37" fillId="22" borderId="8" applyNumberFormat="0" applyAlignment="0" applyProtection="0">
      <alignment vertical="center"/>
    </xf>
    <xf numFmtId="0" fontId="50" fillId="41" borderId="14" applyNumberFormat="0" applyAlignment="0" applyProtection="0">
      <alignment vertical="center"/>
    </xf>
    <xf numFmtId="0" fontId="0" fillId="30" borderId="0" applyNumberFormat="0" applyBorder="0" applyAlignment="0" applyProtection="0">
      <alignment vertical="center"/>
    </xf>
    <xf numFmtId="0" fontId="34" fillId="18" borderId="0" applyNumberFormat="0" applyBorder="0" applyAlignment="0" applyProtection="0">
      <alignment vertical="center"/>
    </xf>
    <xf numFmtId="0" fontId="43" fillId="0" borderId="12" applyNumberFormat="0" applyFill="0" applyAlignment="0" applyProtection="0">
      <alignment vertical="center"/>
    </xf>
    <xf numFmtId="0" fontId="35" fillId="0" borderId="7" applyNumberFormat="0" applyFill="0" applyAlignment="0" applyProtection="0">
      <alignment vertical="center"/>
    </xf>
    <xf numFmtId="0" fontId="47" fillId="37" borderId="0" applyNumberFormat="0" applyBorder="0" applyAlignment="0" applyProtection="0">
      <alignment vertical="center"/>
    </xf>
    <xf numFmtId="0" fontId="49" fillId="40" borderId="0" applyNumberFormat="0" applyBorder="0" applyAlignment="0" applyProtection="0">
      <alignment vertical="center"/>
    </xf>
    <xf numFmtId="0" fontId="0" fillId="29" borderId="0" applyNumberFormat="0" applyBorder="0" applyAlignment="0" applyProtection="0">
      <alignment vertical="center"/>
    </xf>
    <xf numFmtId="0" fontId="34" fillId="36" borderId="0" applyNumberFormat="0" applyBorder="0" applyAlignment="0" applyProtection="0">
      <alignment vertical="center"/>
    </xf>
    <xf numFmtId="0" fontId="0" fillId="28" borderId="0" applyNumberFormat="0" applyBorder="0" applyAlignment="0" applyProtection="0">
      <alignment vertical="center"/>
    </xf>
    <xf numFmtId="0" fontId="0" fillId="15" borderId="0" applyNumberFormat="0" applyBorder="0" applyAlignment="0" applyProtection="0">
      <alignment vertical="center"/>
    </xf>
    <xf numFmtId="0" fontId="0" fillId="35" borderId="0" applyNumberFormat="0" applyBorder="0" applyAlignment="0" applyProtection="0">
      <alignment vertical="center"/>
    </xf>
    <xf numFmtId="0" fontId="0" fillId="21" borderId="0" applyNumberFormat="0" applyBorder="0" applyAlignment="0" applyProtection="0">
      <alignment vertical="center"/>
    </xf>
    <xf numFmtId="0" fontId="34" fillId="14" borderId="0" applyNumberFormat="0" applyBorder="0" applyAlignment="0" applyProtection="0">
      <alignment vertical="center"/>
    </xf>
    <xf numFmtId="0" fontId="34" fillId="25"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34" fillId="20" borderId="0" applyNumberFormat="0" applyBorder="0" applyAlignment="0" applyProtection="0">
      <alignment vertical="center"/>
    </xf>
    <xf numFmtId="0" fontId="0" fillId="27" borderId="0" applyNumberFormat="0" applyBorder="0" applyAlignment="0" applyProtection="0">
      <alignment vertical="center"/>
    </xf>
    <xf numFmtId="0" fontId="34" fillId="17" borderId="0" applyNumberFormat="0" applyBorder="0" applyAlignment="0" applyProtection="0">
      <alignment vertical="center"/>
    </xf>
    <xf numFmtId="0" fontId="34" fillId="31" borderId="0" applyNumberFormat="0" applyBorder="0" applyAlignment="0" applyProtection="0">
      <alignment vertical="center"/>
    </xf>
    <xf numFmtId="0" fontId="0" fillId="16" borderId="0" applyNumberFormat="0" applyBorder="0" applyAlignment="0" applyProtection="0">
      <alignment vertical="center"/>
    </xf>
    <xf numFmtId="0" fontId="34" fillId="24" borderId="0" applyNumberFormat="0" applyBorder="0" applyAlignment="0" applyProtection="0">
      <alignment vertical="center"/>
    </xf>
    <xf numFmtId="0" fontId="48" fillId="0" borderId="0"/>
    <xf numFmtId="0" fontId="0" fillId="0" borderId="0">
      <alignment vertical="center"/>
    </xf>
  </cellStyleXfs>
  <cellXfs count="101">
    <xf numFmtId="0" fontId="0" fillId="0" borderId="0" xfId="0">
      <alignment vertical="center"/>
    </xf>
    <xf numFmtId="0" fontId="1" fillId="0" borderId="0" xfId="0" applyFont="1" applyFill="1">
      <alignment vertical="center"/>
    </xf>
    <xf numFmtId="0" fontId="2" fillId="0" borderId="0" xfId="0" applyFont="1" applyFill="1" applyAlignment="1" applyProtection="1">
      <alignment horizontal="center" vertical="center"/>
      <protection locked="0"/>
    </xf>
    <xf numFmtId="0" fontId="2" fillId="0" borderId="0" xfId="0" applyFont="1" applyFill="1" applyAlignment="1">
      <alignment vertical="center"/>
    </xf>
    <xf numFmtId="0" fontId="3"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horizontal="justify" vertical="center"/>
    </xf>
    <xf numFmtId="0" fontId="2" fillId="0" borderId="0" xfId="0" applyFont="1" applyFill="1" applyAlignment="1">
      <alignment horizontal="center" vertical="center"/>
    </xf>
    <xf numFmtId="0" fontId="4" fillId="0" borderId="0" xfId="0" applyFont="1" applyFill="1" applyBorder="1" applyAlignment="1">
      <alignment horizontal="left" vertical="center"/>
    </xf>
    <xf numFmtId="0" fontId="5" fillId="0" borderId="0" xfId="0" applyFont="1" applyFill="1" applyAlignment="1">
      <alignment horizontal="center" vertical="center"/>
    </xf>
    <xf numFmtId="0" fontId="6" fillId="2"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49" fontId="8" fillId="0" borderId="1" xfId="0" applyNumberFormat="1" applyFont="1" applyFill="1" applyBorder="1" applyAlignment="1" applyProtection="1">
      <alignment horizontal="center" vertical="center" wrapText="1"/>
    </xf>
    <xf numFmtId="0" fontId="8" fillId="0" borderId="1" xfId="0" applyFont="1" applyFill="1" applyBorder="1" applyAlignment="1">
      <alignment horizontal="left" vertical="center" wrapText="1"/>
    </xf>
    <xf numFmtId="0" fontId="8" fillId="0" borderId="1" xfId="49" applyFont="1" applyFill="1" applyBorder="1" applyAlignment="1" applyProtection="1">
      <alignment horizontal="center" vertical="center" wrapText="1"/>
      <protection locked="0"/>
    </xf>
    <xf numFmtId="177" fontId="8" fillId="0" borderId="1" xfId="0" applyNumberFormat="1" applyFont="1" applyFill="1" applyBorder="1" applyAlignment="1">
      <alignment horizontal="center" vertical="center"/>
    </xf>
    <xf numFmtId="0" fontId="9" fillId="0" borderId="1" xfId="0" applyFont="1" applyFill="1" applyBorder="1" applyAlignment="1">
      <alignment horizontal="left" vertical="center" wrapText="1"/>
    </xf>
    <xf numFmtId="0" fontId="8" fillId="0" borderId="1" xfId="0" applyFont="1" applyFill="1" applyBorder="1" applyAlignment="1">
      <alignment horizontal="center" vertical="center"/>
    </xf>
    <xf numFmtId="0" fontId="9" fillId="0" borderId="1" xfId="49" applyFont="1" applyFill="1" applyBorder="1" applyAlignment="1" applyProtection="1">
      <alignment horizontal="center" vertical="center" wrapText="1"/>
      <protection locked="0"/>
    </xf>
    <xf numFmtId="0" fontId="10" fillId="0" borderId="0" xfId="0" applyFont="1" applyFill="1" applyAlignment="1">
      <alignment horizontal="center" vertical="center"/>
    </xf>
    <xf numFmtId="0" fontId="11" fillId="0" borderId="0" xfId="0" applyFont="1" applyFill="1" applyAlignment="1">
      <alignment horizontal="center" vertical="center"/>
    </xf>
    <xf numFmtId="0" fontId="7" fillId="3" borderId="1" xfId="0" applyFont="1" applyFill="1" applyBorder="1" applyAlignment="1" applyProtection="1">
      <alignment horizontal="center" vertical="center" wrapText="1"/>
      <protection locked="0"/>
    </xf>
    <xf numFmtId="0" fontId="7" fillId="3" borderId="1" xfId="49" applyFont="1" applyFill="1" applyBorder="1" applyAlignment="1" applyProtection="1">
      <alignment horizontal="center" vertical="center" wrapText="1"/>
      <protection locked="0"/>
    </xf>
    <xf numFmtId="0" fontId="7" fillId="0" borderId="2" xfId="0" applyFont="1" applyFill="1" applyBorder="1" applyAlignment="1">
      <alignment horizontal="center" vertical="center"/>
    </xf>
    <xf numFmtId="0" fontId="7" fillId="0" borderId="1" xfId="0" applyFont="1" applyFill="1" applyBorder="1" applyAlignment="1">
      <alignment horizontal="center" vertical="center"/>
    </xf>
    <xf numFmtId="176" fontId="8" fillId="0" borderId="1" xfId="0" applyNumberFormat="1" applyFont="1" applyFill="1" applyBorder="1" applyAlignment="1">
      <alignment horizontal="center" vertical="center"/>
    </xf>
    <xf numFmtId="0" fontId="12" fillId="4" borderId="0" xfId="0" applyFont="1" applyFill="1" applyAlignment="1">
      <alignment horizontal="center" vertical="center"/>
    </xf>
    <xf numFmtId="0" fontId="13" fillId="5" borderId="0" xfId="0" applyFont="1" applyFill="1" applyAlignment="1" applyProtection="1">
      <alignment horizontal="center" vertical="center"/>
      <protection locked="0"/>
    </xf>
    <xf numFmtId="0" fontId="14" fillId="0" borderId="0" xfId="0" applyFont="1" applyFill="1" applyAlignment="1">
      <alignment vertical="center"/>
    </xf>
    <xf numFmtId="9" fontId="2" fillId="0" borderId="0" xfId="0" applyNumberFormat="1" applyFont="1" applyFill="1" applyAlignment="1">
      <alignment horizontal="center" vertical="center"/>
    </xf>
    <xf numFmtId="0" fontId="2" fillId="0" borderId="0" xfId="0" applyFont="1" applyFill="1" applyAlignment="1">
      <alignment horizontal="left" vertical="center" wrapText="1"/>
    </xf>
    <xf numFmtId="0" fontId="15" fillId="0" borderId="0" xfId="0" applyFont="1">
      <alignment vertical="center"/>
    </xf>
    <xf numFmtId="0" fontId="16" fillId="0" borderId="0" xfId="0" applyFont="1" applyFill="1" applyBorder="1" applyAlignment="1">
      <alignment horizontal="left" vertical="center"/>
    </xf>
    <xf numFmtId="0" fontId="17" fillId="0" borderId="0" xfId="0" applyFont="1" applyFill="1" applyAlignment="1">
      <alignment horizontal="center" vertical="center"/>
    </xf>
    <xf numFmtId="0" fontId="18" fillId="5" borderId="1" xfId="0" applyFont="1" applyFill="1" applyBorder="1" applyAlignment="1" applyProtection="1">
      <alignment horizontal="center" vertical="center" wrapText="1"/>
      <protection locked="0"/>
    </xf>
    <xf numFmtId="0" fontId="19" fillId="5" borderId="1" xfId="0" applyFont="1" applyFill="1" applyBorder="1" applyAlignment="1" applyProtection="1">
      <alignment horizontal="center" vertical="center" wrapText="1"/>
      <protection locked="0"/>
    </xf>
    <xf numFmtId="0" fontId="20" fillId="5" borderId="3" xfId="0" applyFont="1" applyFill="1" applyBorder="1" applyAlignment="1" applyProtection="1">
      <alignment horizontal="center" vertical="center" wrapText="1"/>
      <protection locked="0"/>
    </xf>
    <xf numFmtId="0" fontId="20" fillId="5" borderId="4" xfId="0" applyFont="1" applyFill="1" applyBorder="1" applyAlignment="1" applyProtection="1">
      <alignment horizontal="center" vertical="center" wrapText="1"/>
      <protection locked="0"/>
    </xf>
    <xf numFmtId="0" fontId="21" fillId="5"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xf>
    <xf numFmtId="0" fontId="8" fillId="0" borderId="1" xfId="49" applyFont="1" applyFill="1" applyBorder="1" applyAlignment="1">
      <alignment horizontal="left" vertical="center" wrapText="1"/>
    </xf>
    <xf numFmtId="0" fontId="8" fillId="4" borderId="1" xfId="0" applyFont="1" applyFill="1" applyBorder="1" applyAlignment="1">
      <alignment horizontal="left" vertical="center" wrapText="1"/>
    </xf>
    <xf numFmtId="177" fontId="8" fillId="0" borderId="1" xfId="0" applyNumberFormat="1" applyFont="1" applyBorder="1" applyAlignment="1">
      <alignment horizontal="center" vertical="center"/>
    </xf>
    <xf numFmtId="177" fontId="8" fillId="4" borderId="1" xfId="0" applyNumberFormat="1" applyFont="1" applyFill="1" applyBorder="1" applyAlignment="1">
      <alignment horizontal="center" vertical="center"/>
    </xf>
    <xf numFmtId="0" fontId="8" fillId="6" borderId="1" xfId="49" applyFont="1" applyFill="1" applyBorder="1" applyAlignment="1">
      <alignment horizontal="left" vertical="center" wrapText="1"/>
    </xf>
    <xf numFmtId="0" fontId="22" fillId="4" borderId="1" xfId="0" applyFont="1" applyFill="1" applyBorder="1" applyAlignment="1">
      <alignment horizontal="left" vertical="center" wrapText="1"/>
    </xf>
    <xf numFmtId="0" fontId="8" fillId="7" borderId="1" xfId="49" applyFont="1" applyFill="1" applyBorder="1" applyAlignment="1">
      <alignment horizontal="left" vertical="center" wrapText="1"/>
    </xf>
    <xf numFmtId="0" fontId="8" fillId="6" borderId="1" xfId="49" applyFont="1" applyFill="1" applyBorder="1" applyAlignment="1" applyProtection="1">
      <alignment horizontal="center" vertical="center" wrapText="1"/>
      <protection locked="0"/>
    </xf>
    <xf numFmtId="0" fontId="23" fillId="0" borderId="0" xfId="0" applyFont="1" applyFill="1" applyAlignment="1">
      <alignment vertical="center"/>
    </xf>
    <xf numFmtId="0" fontId="3" fillId="0" borderId="0" xfId="0" applyFont="1" applyFill="1" applyAlignment="1">
      <alignment vertical="center"/>
    </xf>
    <xf numFmtId="0" fontId="7" fillId="8" borderId="1" xfId="0" applyFont="1" applyFill="1" applyBorder="1" applyAlignment="1" applyProtection="1">
      <alignment horizontal="center" vertical="center" wrapText="1"/>
      <protection locked="0"/>
    </xf>
    <xf numFmtId="0" fontId="24" fillId="3" borderId="1" xfId="0" applyFont="1" applyFill="1" applyBorder="1" applyAlignment="1" applyProtection="1">
      <alignment horizontal="center" vertical="center" wrapText="1"/>
      <protection locked="0"/>
    </xf>
    <xf numFmtId="0" fontId="25" fillId="5" borderId="3" xfId="0" applyFont="1" applyFill="1" applyBorder="1" applyAlignment="1" applyProtection="1">
      <alignment horizontal="center" vertical="center" wrapText="1"/>
      <protection locked="0"/>
    </xf>
    <xf numFmtId="0" fontId="25" fillId="5" borderId="5" xfId="0" applyFont="1" applyFill="1" applyBorder="1" applyAlignment="1" applyProtection="1">
      <alignment horizontal="center" vertical="center" wrapText="1"/>
      <protection locked="0"/>
    </xf>
    <xf numFmtId="0" fontId="25" fillId="5" borderId="4" xfId="0" applyFont="1" applyFill="1" applyBorder="1" applyAlignment="1" applyProtection="1">
      <alignment horizontal="center" vertical="center" wrapText="1"/>
      <protection locked="0"/>
    </xf>
    <xf numFmtId="0" fontId="26" fillId="5" borderId="4" xfId="0" applyFont="1" applyFill="1" applyBorder="1" applyAlignment="1" applyProtection="1">
      <alignment horizontal="center" vertical="center" wrapText="1"/>
      <protection locked="0"/>
    </xf>
    <xf numFmtId="176" fontId="27" fillId="0" borderId="1" xfId="0" applyNumberFormat="1" applyFont="1" applyFill="1" applyBorder="1" applyAlignment="1">
      <alignment horizontal="center" vertical="center"/>
    </xf>
    <xf numFmtId="0" fontId="27" fillId="4" borderId="1" xfId="0" applyFont="1" applyFill="1" applyBorder="1" applyAlignment="1">
      <alignment horizontal="center" vertical="center"/>
    </xf>
    <xf numFmtId="0" fontId="27" fillId="4" borderId="2" xfId="0" applyFont="1" applyFill="1" applyBorder="1" applyAlignment="1">
      <alignment horizontal="center" vertical="center"/>
    </xf>
    <xf numFmtId="0" fontId="27" fillId="6" borderId="1" xfId="0" applyFont="1" applyFill="1" applyBorder="1" applyAlignment="1">
      <alignment horizontal="center" vertical="center"/>
    </xf>
    <xf numFmtId="0" fontId="28" fillId="0" borderId="1" xfId="0" applyFont="1" applyFill="1" applyBorder="1" applyAlignment="1">
      <alignment horizontal="center" vertical="center"/>
    </xf>
    <xf numFmtId="0" fontId="27" fillId="9" borderId="1" xfId="0" applyFont="1" applyFill="1" applyBorder="1" applyAlignment="1">
      <alignment horizontal="center" vertical="center"/>
    </xf>
    <xf numFmtId="0" fontId="28" fillId="0" borderId="1" xfId="49" applyFont="1" applyFill="1" applyBorder="1" applyAlignment="1">
      <alignment horizontal="center" vertical="center"/>
    </xf>
    <xf numFmtId="0" fontId="27" fillId="10" borderId="1" xfId="0" applyFont="1" applyFill="1" applyBorder="1" applyAlignment="1">
      <alignment horizontal="center" vertical="center"/>
    </xf>
    <xf numFmtId="0" fontId="28" fillId="0" borderId="1" xfId="0" applyFont="1" applyFill="1" applyBorder="1" applyAlignment="1">
      <alignment horizontal="center" vertical="center" wrapText="1"/>
    </xf>
    <xf numFmtId="0" fontId="29" fillId="0" borderId="0" xfId="0" applyFont="1" applyFill="1" applyAlignment="1">
      <alignment horizontal="center" vertical="center"/>
    </xf>
    <xf numFmtId="9" fontId="7" fillId="3" borderId="1" xfId="0" applyNumberFormat="1" applyFont="1" applyFill="1" applyBorder="1" applyAlignment="1" applyProtection="1">
      <alignment horizontal="center" vertical="center" wrapText="1"/>
      <protection locked="0"/>
    </xf>
    <xf numFmtId="0" fontId="7" fillId="3" borderId="6" xfId="49" applyFont="1" applyFill="1" applyBorder="1" applyAlignment="1" applyProtection="1">
      <alignment horizontal="center" vertical="center" wrapText="1"/>
      <protection locked="0"/>
    </xf>
    <xf numFmtId="0" fontId="20" fillId="5" borderId="1" xfId="0" applyFont="1" applyFill="1" applyBorder="1" applyAlignment="1" applyProtection="1">
      <alignment horizontal="center" vertical="center" wrapText="1"/>
      <protection locked="0"/>
    </xf>
    <xf numFmtId="0" fontId="20" fillId="0" borderId="1" xfId="0" applyFont="1" applyFill="1" applyBorder="1" applyAlignment="1">
      <alignment horizontal="center" vertical="center" wrapText="1"/>
    </xf>
    <xf numFmtId="178" fontId="8" fillId="0" borderId="2" xfId="49" applyNumberFormat="1" applyFont="1" applyFill="1" applyBorder="1" applyAlignment="1">
      <alignment horizontal="center" vertical="center" wrapText="1"/>
    </xf>
    <xf numFmtId="9" fontId="8" fillId="0" borderId="2" xfId="49" applyNumberFormat="1" applyFont="1" applyFill="1" applyBorder="1" applyAlignment="1">
      <alignment horizontal="center" vertical="center" wrapText="1"/>
    </xf>
    <xf numFmtId="0" fontId="8" fillId="0" borderId="2" xfId="49" applyFont="1" applyFill="1" applyBorder="1" applyAlignment="1">
      <alignment horizontal="left" vertical="center" wrapText="1"/>
    </xf>
    <xf numFmtId="0" fontId="27" fillId="0" borderId="2" xfId="49" applyFont="1" applyFill="1" applyBorder="1" applyAlignment="1">
      <alignment horizontal="left" vertical="center" wrapText="1"/>
    </xf>
    <xf numFmtId="178" fontId="8" fillId="0" borderId="1" xfId="49" applyNumberFormat="1" applyFont="1" applyFill="1" applyBorder="1" applyAlignment="1">
      <alignment horizontal="center" vertical="center" wrapText="1"/>
    </xf>
    <xf numFmtId="9" fontId="8" fillId="0" borderId="1" xfId="49" applyNumberFormat="1" applyFont="1" applyFill="1" applyBorder="1" applyAlignment="1">
      <alignment horizontal="center" vertical="center" wrapText="1"/>
    </xf>
    <xf numFmtId="0" fontId="27" fillId="6" borderId="1" xfId="49" applyFont="1" applyFill="1" applyBorder="1" applyAlignment="1">
      <alignment horizontal="left" vertical="center" wrapText="1"/>
    </xf>
    <xf numFmtId="0" fontId="27" fillId="0" borderId="1" xfId="49" applyFont="1" applyFill="1" applyBorder="1" applyAlignment="1">
      <alignment horizontal="left" vertical="center" wrapText="1"/>
    </xf>
    <xf numFmtId="0" fontId="1" fillId="0" borderId="1" xfId="49" applyFont="1" applyFill="1" applyBorder="1" applyAlignment="1">
      <alignment horizontal="left" vertical="center" wrapText="1"/>
    </xf>
    <xf numFmtId="0" fontId="7" fillId="10" borderId="1" xfId="0" applyFont="1" applyFill="1" applyBorder="1" applyAlignment="1">
      <alignment horizontal="center" vertical="center"/>
    </xf>
    <xf numFmtId="0" fontId="8" fillId="10" borderId="1" xfId="49" applyFont="1" applyFill="1" applyBorder="1" applyAlignment="1">
      <alignment horizontal="left" vertical="center" wrapText="1"/>
    </xf>
    <xf numFmtId="0" fontId="30" fillId="0" borderId="1" xfId="49" applyFont="1" applyFill="1" applyBorder="1" applyAlignment="1">
      <alignment horizontal="left" vertical="center" wrapText="1"/>
    </xf>
    <xf numFmtId="0" fontId="8" fillId="0" borderId="1" xfId="49" applyNumberFormat="1" applyFont="1" applyFill="1" applyBorder="1" applyAlignment="1">
      <alignment horizontal="left" vertical="center" wrapText="1"/>
    </xf>
    <xf numFmtId="0" fontId="8" fillId="0" borderId="1" xfId="49" applyFont="1" applyFill="1" applyBorder="1" applyAlignment="1">
      <alignment horizontal="center" vertical="center" wrapText="1"/>
    </xf>
    <xf numFmtId="0" fontId="8" fillId="6" borderId="1" xfId="49" applyFont="1" applyFill="1" applyBorder="1" applyAlignment="1">
      <alignment horizontal="center" vertical="center" wrapText="1"/>
    </xf>
    <xf numFmtId="0" fontId="8" fillId="0" borderId="1" xfId="49" applyFont="1" applyFill="1" applyBorder="1" applyAlignment="1" applyProtection="1">
      <alignment horizontal="left" vertical="center" wrapText="1"/>
    </xf>
    <xf numFmtId="0" fontId="8" fillId="7" borderId="1" xfId="49" applyFont="1" applyFill="1" applyBorder="1" applyAlignment="1" applyProtection="1">
      <alignment horizontal="center" vertical="center" wrapText="1"/>
      <protection locked="0"/>
    </xf>
    <xf numFmtId="0" fontId="28" fillId="0" borderId="4" xfId="49" applyFont="1" applyFill="1" applyBorder="1" applyAlignment="1">
      <alignment horizontal="center" vertical="center"/>
    </xf>
    <xf numFmtId="176" fontId="28" fillId="0" borderId="1" xfId="49" applyNumberFormat="1" applyFont="1" applyFill="1" applyBorder="1" applyAlignment="1">
      <alignment horizontal="center" vertical="center"/>
    </xf>
    <xf numFmtId="0" fontId="27" fillId="11" borderId="1" xfId="0" applyFont="1" applyFill="1" applyBorder="1" applyAlignment="1">
      <alignment horizontal="center" vertical="center"/>
    </xf>
    <xf numFmtId="0" fontId="27" fillId="7" borderId="1" xfId="0" applyFont="1" applyFill="1" applyBorder="1" applyAlignment="1">
      <alignment horizontal="center" vertical="center"/>
    </xf>
    <xf numFmtId="0" fontId="8" fillId="10" borderId="1" xfId="0" applyFont="1" applyFill="1" applyBorder="1" applyAlignment="1">
      <alignment horizontal="center" vertical="center"/>
    </xf>
    <xf numFmtId="0" fontId="8" fillId="7" borderId="1" xfId="49" applyNumberFormat="1" applyFont="1" applyFill="1" applyBorder="1" applyAlignment="1">
      <alignment horizontal="left" vertical="center" wrapText="1"/>
    </xf>
    <xf numFmtId="176" fontId="27" fillId="11" borderId="1" xfId="0" applyNumberFormat="1" applyFont="1" applyFill="1" applyBorder="1" applyAlignment="1">
      <alignment horizontal="center" vertical="center"/>
    </xf>
    <xf numFmtId="176" fontId="28" fillId="0" borderId="1" xfId="49" applyNumberFormat="1" applyFont="1" applyFill="1" applyBorder="1" applyAlignment="1" applyProtection="1">
      <alignment horizontal="center" vertical="center"/>
    </xf>
    <xf numFmtId="0" fontId="31" fillId="0" borderId="0" xfId="0" applyFont="1" applyFill="1" applyAlignment="1">
      <alignment horizontal="center" vertical="center"/>
    </xf>
    <xf numFmtId="0" fontId="24" fillId="0" borderId="0" xfId="0" applyFont="1" applyFill="1" applyAlignment="1">
      <alignment horizontal="center" vertical="center"/>
    </xf>
    <xf numFmtId="0" fontId="32" fillId="4" borderId="2" xfId="0" applyFont="1" applyFill="1" applyBorder="1" applyAlignment="1">
      <alignment horizontal="center" vertical="center"/>
    </xf>
    <xf numFmtId="178" fontId="8" fillId="6" borderId="1" xfId="49" applyNumberFormat="1" applyFont="1" applyFill="1" applyBorder="1" applyAlignment="1">
      <alignment horizontal="center" vertical="center" wrapText="1"/>
    </xf>
    <xf numFmtId="49" fontId="8" fillId="6" borderId="1" xfId="49" applyNumberFormat="1" applyFont="1" applyFill="1" applyBorder="1" applyAlignment="1" applyProtection="1">
      <alignment horizontal="center" vertical="center" wrapText="1"/>
    </xf>
    <xf numFmtId="0" fontId="33" fillId="7" borderId="0" xfId="0" applyFont="1" applyFill="1" applyAlignment="1">
      <alignment vertical="center"/>
    </xf>
    <xf numFmtId="9" fontId="8" fillId="0" borderId="1" xfId="49" applyNumberFormat="1" applyFont="1" applyFill="1" applyBorder="1" applyAlignment="1" quotePrefix="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 name="常规 3" xfId="50"/>
  </cellStyles>
  <dxfs count="1">
    <dxf>
      <font>
        <color rgb="FF9C0006"/>
      </font>
      <fill>
        <patternFill patternType="solid">
          <bgColor rgb="FFFFC7CE"/>
        </patternFill>
      </fill>
    </dxf>
  </dxfs>
  <tableStyles count="0" defaultTableStyle="TableStyleMedium2" defaultPivotStyle="PivotStyleLight16"/>
  <colors>
    <mruColors>
      <color rgb="0092D050"/>
      <color rgb="00DCE6F1"/>
      <color rgb="00B1A0C7"/>
      <color rgb="00FFFFFF"/>
      <color rgb="00DAEEF3"/>
      <color rgb="00E26B0A"/>
      <color rgb="0000B0F0"/>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5.xml"/><Relationship Id="rId7" Type="http://schemas.openxmlformats.org/officeDocument/2006/relationships/customXml" Target="../customXml/item4.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143"/>
  <sheetViews>
    <sheetView zoomScale="60" zoomScaleNormal="60" workbookViewId="0">
      <selection activeCell="A6" sqref="A6"/>
    </sheetView>
  </sheetViews>
  <sheetFormatPr defaultColWidth="9.80833333333333" defaultRowHeight="35" customHeight="1"/>
  <cols>
    <col min="1" max="1" width="5.7" style="3" customWidth="1"/>
    <col min="2" max="2" width="39.85" style="5" customWidth="1"/>
    <col min="3" max="3" width="15.925" style="3" customWidth="1"/>
    <col min="4" max="4" width="15.1333333333333" style="3" customWidth="1"/>
    <col min="5" max="5" width="15.4166666666667" style="3" customWidth="1"/>
    <col min="6" max="6" width="90.7" style="6" customWidth="1"/>
    <col min="7" max="8" width="12.9166666666667" style="7" customWidth="1"/>
    <col min="9" max="11" width="14.75" style="28" customWidth="1"/>
    <col min="12" max="14" width="14.75" style="4" customWidth="1"/>
    <col min="15" max="16" width="12.35" style="4" customWidth="1"/>
    <col min="17" max="17" width="10.5666666666667" style="7" customWidth="1"/>
    <col min="18" max="18" width="11.525" style="29" customWidth="1"/>
    <col min="19" max="19" width="9.80833333333333" style="3"/>
    <col min="20" max="20" width="41.7" style="30" customWidth="1"/>
    <col min="21" max="21" width="17.5" style="30" customWidth="1"/>
    <col min="22" max="22" width="9.80833333333333" style="31"/>
    <col min="23" max="23" width="34.4416666666667" style="31" customWidth="1"/>
    <col min="24" max="16384" width="9.80833333333333" style="31"/>
  </cols>
  <sheetData>
    <row r="1" customHeight="1" spans="1:16">
      <c r="A1" s="32" t="s">
        <v>0</v>
      </c>
      <c r="L1" s="19"/>
      <c r="M1" s="19"/>
      <c r="N1" s="19"/>
      <c r="O1" s="19"/>
      <c r="P1" s="19"/>
    </row>
    <row r="2" customHeight="1" spans="1:21">
      <c r="A2" s="9" t="s">
        <v>1</v>
      </c>
      <c r="B2" s="9"/>
      <c r="C2" s="9"/>
      <c r="D2" s="9"/>
      <c r="E2" s="9"/>
      <c r="F2" s="9"/>
      <c r="G2" s="9"/>
      <c r="H2" s="9"/>
      <c r="I2" s="48"/>
      <c r="J2" s="48"/>
      <c r="K2" s="48"/>
      <c r="L2" s="9"/>
      <c r="M2" s="9"/>
      <c r="N2" s="9"/>
      <c r="O2" s="9"/>
      <c r="P2" s="9"/>
      <c r="Q2" s="9"/>
      <c r="R2" s="9"/>
      <c r="S2" s="9"/>
      <c r="T2" s="9"/>
      <c r="U2" s="65"/>
    </row>
    <row r="3" s="3" customFormat="1" customHeight="1" spans="1:21">
      <c r="A3" s="33"/>
      <c r="B3" s="33"/>
      <c r="C3" s="33"/>
      <c r="D3" s="33"/>
      <c r="E3" s="33"/>
      <c r="F3" s="33"/>
      <c r="G3" s="33"/>
      <c r="H3" s="33"/>
      <c r="I3" s="49"/>
      <c r="J3" s="49"/>
      <c r="K3" s="49"/>
      <c r="L3" s="20"/>
      <c r="M3" s="20"/>
      <c r="N3" s="20"/>
      <c r="O3" s="20"/>
      <c r="P3" s="20"/>
      <c r="Q3" s="33"/>
      <c r="R3" s="33"/>
      <c r="T3" s="33"/>
      <c r="U3" s="33"/>
    </row>
    <row r="4" s="2" customFormat="1" ht="69" customHeight="1" spans="1:21">
      <c r="A4" s="21" t="s">
        <v>2</v>
      </c>
      <c r="B4" s="21" t="s">
        <v>3</v>
      </c>
      <c r="C4" s="21" t="s">
        <v>4</v>
      </c>
      <c r="D4" s="21" t="s">
        <v>5</v>
      </c>
      <c r="E4" s="21" t="s">
        <v>6</v>
      </c>
      <c r="F4" s="21" t="s">
        <v>7</v>
      </c>
      <c r="G4" s="21" t="s">
        <v>8</v>
      </c>
      <c r="H4" s="21" t="s">
        <v>9</v>
      </c>
      <c r="I4" s="50" t="s">
        <v>10</v>
      </c>
      <c r="J4" s="50" t="s">
        <v>11</v>
      </c>
      <c r="K4" s="50" t="s">
        <v>12</v>
      </c>
      <c r="L4" s="21" t="s">
        <v>13</v>
      </c>
      <c r="M4" s="21" t="s">
        <v>14</v>
      </c>
      <c r="N4" s="21" t="s">
        <v>12</v>
      </c>
      <c r="O4" s="51"/>
      <c r="P4" s="51"/>
      <c r="Q4" s="21" t="s">
        <v>15</v>
      </c>
      <c r="R4" s="66" t="s">
        <v>16</v>
      </c>
      <c r="S4" s="67" t="s">
        <v>17</v>
      </c>
      <c r="T4" s="66" t="s">
        <v>18</v>
      </c>
      <c r="U4" s="66" t="s">
        <v>19</v>
      </c>
    </row>
    <row r="5" s="27" customFormat="1" ht="99" customHeight="1" spans="1:21">
      <c r="A5" s="34"/>
      <c r="B5" s="35" t="s">
        <v>20</v>
      </c>
      <c r="C5" s="36" t="s">
        <v>21</v>
      </c>
      <c r="D5" s="37"/>
      <c r="E5" s="38" t="s">
        <v>22</v>
      </c>
      <c r="F5" s="35" t="s">
        <v>23</v>
      </c>
      <c r="G5" s="34"/>
      <c r="H5" s="38" t="s">
        <v>24</v>
      </c>
      <c r="I5" s="52" t="s">
        <v>25</v>
      </c>
      <c r="J5" s="53"/>
      <c r="K5" s="54"/>
      <c r="L5" s="52" t="s">
        <v>26</v>
      </c>
      <c r="M5" s="53"/>
      <c r="N5" s="54"/>
      <c r="O5" s="55" t="s">
        <v>27</v>
      </c>
      <c r="P5" s="55" t="s">
        <v>28</v>
      </c>
      <c r="Q5" s="68" t="s">
        <v>29</v>
      </c>
      <c r="R5" s="68"/>
      <c r="S5" s="68"/>
      <c r="T5" s="68"/>
      <c r="U5" s="69" t="s">
        <v>30</v>
      </c>
    </row>
    <row r="6" s="3" customFormat="1" ht="89" customHeight="1" spans="1:21">
      <c r="A6" s="39">
        <v>1</v>
      </c>
      <c r="B6" s="40" t="s">
        <v>31</v>
      </c>
      <c r="C6" s="14" t="s">
        <v>32</v>
      </c>
      <c r="D6" s="14" t="s">
        <v>33</v>
      </c>
      <c r="E6" s="14" t="s">
        <v>34</v>
      </c>
      <c r="F6" s="41" t="s">
        <v>35</v>
      </c>
      <c r="G6" s="42">
        <v>45962</v>
      </c>
      <c r="H6" s="43">
        <v>47027</v>
      </c>
      <c r="I6" s="56">
        <v>2880</v>
      </c>
      <c r="J6" s="56">
        <v>960</v>
      </c>
      <c r="K6" s="56">
        <v>1920</v>
      </c>
      <c r="L6" s="57">
        <v>2550</v>
      </c>
      <c r="M6" s="57">
        <v>850</v>
      </c>
      <c r="N6" s="57">
        <v>1700</v>
      </c>
      <c r="O6" s="58">
        <f t="shared" ref="O6:O69" si="0">J6-M6</f>
        <v>110</v>
      </c>
      <c r="P6" s="58">
        <f t="shared" ref="P6:P69" si="1">K6-N6</f>
        <v>220</v>
      </c>
      <c r="Q6" s="70">
        <v>89.36</v>
      </c>
      <c r="R6" s="71" t="s">
        <v>36</v>
      </c>
      <c r="S6" s="23" t="s">
        <v>37</v>
      </c>
      <c r="T6" s="72"/>
      <c r="U6" s="73" t="s">
        <v>38</v>
      </c>
    </row>
    <row r="7" s="3" customFormat="1" ht="89" customHeight="1" spans="1:21">
      <c r="A7" s="39">
        <v>2</v>
      </c>
      <c r="B7" s="40" t="s">
        <v>39</v>
      </c>
      <c r="C7" s="14" t="s">
        <v>32</v>
      </c>
      <c r="D7" s="14" t="s">
        <v>40</v>
      </c>
      <c r="E7" s="14" t="s">
        <v>34</v>
      </c>
      <c r="F7" s="41" t="s">
        <v>41</v>
      </c>
      <c r="G7" s="42">
        <v>45962</v>
      </c>
      <c r="H7" s="43">
        <v>47027</v>
      </c>
      <c r="I7" s="56">
        <v>2340</v>
      </c>
      <c r="J7" s="56">
        <v>780</v>
      </c>
      <c r="K7" s="56">
        <v>1560</v>
      </c>
      <c r="L7" s="57">
        <v>2115</v>
      </c>
      <c r="M7" s="57">
        <v>705</v>
      </c>
      <c r="N7" s="57">
        <v>1410</v>
      </c>
      <c r="O7" s="58">
        <f t="shared" si="0"/>
        <v>75</v>
      </c>
      <c r="P7" s="58">
        <f t="shared" si="1"/>
        <v>150</v>
      </c>
      <c r="Q7" s="74">
        <v>88.57</v>
      </c>
      <c r="R7" s="75" t="s">
        <v>42</v>
      </c>
      <c r="S7" s="24" t="s">
        <v>37</v>
      </c>
      <c r="T7" s="40"/>
      <c r="U7" s="76" t="s">
        <v>43</v>
      </c>
    </row>
    <row r="8" s="3" customFormat="1" ht="89" customHeight="1" spans="1:21">
      <c r="A8" s="39">
        <v>3</v>
      </c>
      <c r="B8" s="40" t="s">
        <v>44</v>
      </c>
      <c r="C8" s="14" t="s">
        <v>32</v>
      </c>
      <c r="D8" s="14" t="s">
        <v>33</v>
      </c>
      <c r="E8" s="14" t="s">
        <v>34</v>
      </c>
      <c r="F8" s="41" t="s">
        <v>45</v>
      </c>
      <c r="G8" s="42">
        <v>45962</v>
      </c>
      <c r="H8" s="43">
        <v>46661</v>
      </c>
      <c r="I8" s="56">
        <v>1896</v>
      </c>
      <c r="J8" s="56">
        <v>596</v>
      </c>
      <c r="K8" s="56">
        <v>1300</v>
      </c>
      <c r="L8" s="57">
        <v>1781</v>
      </c>
      <c r="M8" s="57">
        <v>560</v>
      </c>
      <c r="N8" s="57">
        <v>1221</v>
      </c>
      <c r="O8" s="58">
        <f t="shared" si="0"/>
        <v>36</v>
      </c>
      <c r="P8" s="58">
        <f t="shared" si="1"/>
        <v>79</v>
      </c>
      <c r="Q8" s="74">
        <v>88.5</v>
      </c>
      <c r="R8" s="75" t="s">
        <v>42</v>
      </c>
      <c r="S8" s="24" t="s">
        <v>37</v>
      </c>
      <c r="T8" s="40"/>
      <c r="U8" s="77" t="s">
        <v>46</v>
      </c>
    </row>
    <row r="9" s="3" customFormat="1" ht="89" customHeight="1" spans="1:23">
      <c r="A9" s="39">
        <v>4</v>
      </c>
      <c r="B9" s="40" t="s">
        <v>47</v>
      </c>
      <c r="C9" s="14" t="s">
        <v>32</v>
      </c>
      <c r="D9" s="14" t="s">
        <v>33</v>
      </c>
      <c r="E9" s="14" t="s">
        <v>34</v>
      </c>
      <c r="F9" s="41" t="s">
        <v>48</v>
      </c>
      <c r="G9" s="42">
        <v>45962</v>
      </c>
      <c r="H9" s="43">
        <v>46661</v>
      </c>
      <c r="I9" s="56">
        <v>2850</v>
      </c>
      <c r="J9" s="56">
        <v>950</v>
      </c>
      <c r="K9" s="56">
        <v>1900</v>
      </c>
      <c r="L9" s="59">
        <f>SUBTOTAL(9,M9:N9)</f>
        <v>2610</v>
      </c>
      <c r="M9" s="59">
        <v>870</v>
      </c>
      <c r="N9" s="59">
        <v>1740</v>
      </c>
      <c r="O9" s="58">
        <f t="shared" si="0"/>
        <v>80</v>
      </c>
      <c r="P9" s="58">
        <f t="shared" si="1"/>
        <v>160</v>
      </c>
      <c r="Q9" s="74">
        <v>88.22</v>
      </c>
      <c r="R9" s="75" t="s">
        <v>42</v>
      </c>
      <c r="S9" s="24" t="s">
        <v>37</v>
      </c>
      <c r="T9" s="46"/>
      <c r="U9" s="77" t="s">
        <v>49</v>
      </c>
      <c r="W9" s="78" t="s">
        <v>50</v>
      </c>
    </row>
    <row r="10" s="3" customFormat="1" ht="89" customHeight="1" spans="1:21">
      <c r="A10" s="39">
        <v>5</v>
      </c>
      <c r="B10" s="44" t="s">
        <v>51</v>
      </c>
      <c r="C10" s="14" t="s">
        <v>32</v>
      </c>
      <c r="D10" s="14" t="s">
        <v>52</v>
      </c>
      <c r="E10" s="14" t="s">
        <v>34</v>
      </c>
      <c r="F10" s="45" t="s">
        <v>53</v>
      </c>
      <c r="G10" s="42">
        <v>45962</v>
      </c>
      <c r="H10" s="43">
        <v>47027</v>
      </c>
      <c r="I10" s="56">
        <v>2400</v>
      </c>
      <c r="J10" s="56">
        <v>800</v>
      </c>
      <c r="K10" s="56">
        <v>1600</v>
      </c>
      <c r="L10" s="57">
        <v>2160</v>
      </c>
      <c r="M10" s="57">
        <v>720</v>
      </c>
      <c r="N10" s="57">
        <v>1440</v>
      </c>
      <c r="O10" s="58">
        <f t="shared" si="0"/>
        <v>80</v>
      </c>
      <c r="P10" s="58">
        <f t="shared" si="1"/>
        <v>160</v>
      </c>
      <c r="Q10" s="74">
        <v>87.57</v>
      </c>
      <c r="R10" s="75" t="s">
        <v>36</v>
      </c>
      <c r="S10" s="79" t="s">
        <v>37</v>
      </c>
      <c r="T10" s="80" t="s">
        <v>54</v>
      </c>
      <c r="U10" s="77" t="s">
        <v>55</v>
      </c>
    </row>
    <row r="11" s="3" customFormat="1" ht="89" customHeight="1" spans="1:21">
      <c r="A11" s="39">
        <v>6</v>
      </c>
      <c r="B11" s="40" t="s">
        <v>56</v>
      </c>
      <c r="C11" s="14" t="s">
        <v>32</v>
      </c>
      <c r="D11" s="14" t="s">
        <v>52</v>
      </c>
      <c r="E11" s="14" t="s">
        <v>34</v>
      </c>
      <c r="F11" s="41" t="s">
        <v>57</v>
      </c>
      <c r="G11" s="42">
        <v>45962</v>
      </c>
      <c r="H11" s="43">
        <v>47027</v>
      </c>
      <c r="I11" s="56">
        <v>1800</v>
      </c>
      <c r="J11" s="56">
        <v>600</v>
      </c>
      <c r="K11" s="56">
        <v>1200</v>
      </c>
      <c r="L11" s="57">
        <v>1665</v>
      </c>
      <c r="M11" s="57">
        <v>555</v>
      </c>
      <c r="N11" s="57">
        <v>1110</v>
      </c>
      <c r="O11" s="58">
        <f t="shared" si="0"/>
        <v>45</v>
      </c>
      <c r="P11" s="58">
        <f t="shared" si="1"/>
        <v>90</v>
      </c>
      <c r="Q11" s="74">
        <v>87.22</v>
      </c>
      <c r="R11" s="75" t="s">
        <v>36</v>
      </c>
      <c r="S11" s="79" t="s">
        <v>37</v>
      </c>
      <c r="T11" s="80" t="s">
        <v>54</v>
      </c>
      <c r="U11" s="77" t="s">
        <v>58</v>
      </c>
    </row>
    <row r="12" s="3" customFormat="1" ht="89" customHeight="1" spans="1:21">
      <c r="A12" s="39">
        <v>7</v>
      </c>
      <c r="B12" s="44" t="s">
        <v>59</v>
      </c>
      <c r="C12" s="14" t="s">
        <v>32</v>
      </c>
      <c r="D12" s="14" t="s">
        <v>52</v>
      </c>
      <c r="E12" s="14" t="s">
        <v>34</v>
      </c>
      <c r="F12" s="41" t="s">
        <v>60</v>
      </c>
      <c r="G12" s="42">
        <v>45962</v>
      </c>
      <c r="H12" s="43">
        <v>47027</v>
      </c>
      <c r="I12" s="60">
        <v>4500</v>
      </c>
      <c r="J12" s="60">
        <v>1500</v>
      </c>
      <c r="K12" s="60">
        <v>3000</v>
      </c>
      <c r="L12" s="61">
        <f>SUBTOTAL(9,M12:N12)</f>
        <v>2940</v>
      </c>
      <c r="M12" s="61">
        <f>1180-200</f>
        <v>980</v>
      </c>
      <c r="N12" s="61">
        <v>1960</v>
      </c>
      <c r="O12" s="58">
        <f t="shared" si="0"/>
        <v>520</v>
      </c>
      <c r="P12" s="58">
        <f t="shared" si="1"/>
        <v>1040</v>
      </c>
      <c r="Q12" s="74">
        <v>86.43</v>
      </c>
      <c r="R12" s="75" t="s">
        <v>61</v>
      </c>
      <c r="S12" s="24" t="s">
        <v>37</v>
      </c>
      <c r="T12" s="40" t="s">
        <v>54</v>
      </c>
      <c r="U12" s="81" t="s">
        <v>62</v>
      </c>
    </row>
    <row r="13" s="3" customFormat="1" ht="89" customHeight="1" spans="1:21">
      <c r="A13" s="39">
        <v>8</v>
      </c>
      <c r="B13" s="44" t="s">
        <v>63</v>
      </c>
      <c r="C13" s="14" t="s">
        <v>32</v>
      </c>
      <c r="D13" s="14" t="s">
        <v>40</v>
      </c>
      <c r="E13" s="14" t="s">
        <v>34</v>
      </c>
      <c r="F13" s="45" t="s">
        <v>64</v>
      </c>
      <c r="G13" s="42">
        <v>45962</v>
      </c>
      <c r="H13" s="43">
        <v>46661</v>
      </c>
      <c r="I13" s="60">
        <v>2346</v>
      </c>
      <c r="J13" s="60">
        <v>782</v>
      </c>
      <c r="K13" s="60">
        <v>1564</v>
      </c>
      <c r="L13" s="57">
        <v>2100</v>
      </c>
      <c r="M13" s="57">
        <v>700</v>
      </c>
      <c r="N13" s="57">
        <v>1400</v>
      </c>
      <c r="O13" s="58">
        <f t="shared" si="0"/>
        <v>82</v>
      </c>
      <c r="P13" s="58">
        <f t="shared" si="1"/>
        <v>164</v>
      </c>
      <c r="Q13" s="74">
        <v>86.09</v>
      </c>
      <c r="R13" s="75" t="s">
        <v>61</v>
      </c>
      <c r="S13" s="24" t="s">
        <v>37</v>
      </c>
      <c r="T13" s="40"/>
      <c r="U13" s="81" t="s">
        <v>65</v>
      </c>
    </row>
    <row r="14" s="3" customFormat="1" ht="89" customHeight="1" spans="1:21">
      <c r="A14" s="39">
        <v>9</v>
      </c>
      <c r="B14" s="44" t="s">
        <v>66</v>
      </c>
      <c r="C14" s="14" t="s">
        <v>32</v>
      </c>
      <c r="D14" s="14" t="s">
        <v>52</v>
      </c>
      <c r="E14" s="14" t="s">
        <v>34</v>
      </c>
      <c r="F14" s="41" t="s">
        <v>67</v>
      </c>
      <c r="G14" s="42">
        <v>45962</v>
      </c>
      <c r="H14" s="43">
        <v>46661</v>
      </c>
      <c r="I14" s="60">
        <v>1500</v>
      </c>
      <c r="J14" s="60">
        <v>500</v>
      </c>
      <c r="K14" s="60">
        <v>1000</v>
      </c>
      <c r="L14" s="57">
        <v>1479</v>
      </c>
      <c r="M14" s="57">
        <v>493</v>
      </c>
      <c r="N14" s="57">
        <v>986</v>
      </c>
      <c r="O14" s="58">
        <f t="shared" si="0"/>
        <v>7</v>
      </c>
      <c r="P14" s="58">
        <f t="shared" si="1"/>
        <v>14</v>
      </c>
      <c r="Q14" s="74">
        <v>86.07</v>
      </c>
      <c r="R14" s="101" t="s">
        <v>36</v>
      </c>
      <c r="S14" s="24" t="s">
        <v>37</v>
      </c>
      <c r="T14" s="40" t="s">
        <v>54</v>
      </c>
      <c r="U14" s="81" t="s">
        <v>68</v>
      </c>
    </row>
    <row r="15" s="3" customFormat="1" ht="89" customHeight="1" spans="1:21">
      <c r="A15" s="39">
        <v>10</v>
      </c>
      <c r="B15" s="40" t="s">
        <v>69</v>
      </c>
      <c r="C15" s="14" t="s">
        <v>32</v>
      </c>
      <c r="D15" s="14" t="s">
        <v>33</v>
      </c>
      <c r="E15" s="14" t="s">
        <v>34</v>
      </c>
      <c r="F15" s="41" t="s">
        <v>70</v>
      </c>
      <c r="G15" s="42">
        <v>45962</v>
      </c>
      <c r="H15" s="43">
        <v>46661</v>
      </c>
      <c r="I15" s="56">
        <v>2400</v>
      </c>
      <c r="J15" s="56">
        <v>800</v>
      </c>
      <c r="K15" s="56">
        <v>1600</v>
      </c>
      <c r="L15" s="57">
        <v>2070</v>
      </c>
      <c r="M15" s="57">
        <v>690</v>
      </c>
      <c r="N15" s="57">
        <v>1380</v>
      </c>
      <c r="O15" s="58">
        <f t="shared" si="0"/>
        <v>110</v>
      </c>
      <c r="P15" s="58">
        <f t="shared" si="1"/>
        <v>220</v>
      </c>
      <c r="Q15" s="74">
        <v>85.57</v>
      </c>
      <c r="R15" s="75" t="s">
        <v>61</v>
      </c>
      <c r="S15" s="24" t="s">
        <v>37</v>
      </c>
      <c r="T15" s="40"/>
      <c r="U15" s="77" t="s">
        <v>71</v>
      </c>
    </row>
    <row r="16" s="3" customFormat="1" ht="89" customHeight="1" spans="1:21">
      <c r="A16" s="39">
        <v>11</v>
      </c>
      <c r="B16" s="44" t="s">
        <v>72</v>
      </c>
      <c r="C16" s="14" t="s">
        <v>32</v>
      </c>
      <c r="D16" s="14" t="s">
        <v>40</v>
      </c>
      <c r="E16" s="14" t="s">
        <v>34</v>
      </c>
      <c r="F16" s="41" t="s">
        <v>73</v>
      </c>
      <c r="G16" s="42">
        <v>45962</v>
      </c>
      <c r="H16" s="43">
        <v>47027</v>
      </c>
      <c r="I16" s="60">
        <v>2400</v>
      </c>
      <c r="J16" s="60">
        <v>800</v>
      </c>
      <c r="K16" s="60">
        <v>1600</v>
      </c>
      <c r="L16" s="57">
        <v>2145</v>
      </c>
      <c r="M16" s="57">
        <v>715</v>
      </c>
      <c r="N16" s="57">
        <v>1430</v>
      </c>
      <c r="O16" s="58">
        <f t="shared" si="0"/>
        <v>85</v>
      </c>
      <c r="P16" s="58">
        <f t="shared" si="1"/>
        <v>170</v>
      </c>
      <c r="Q16" s="74">
        <v>85.29</v>
      </c>
      <c r="R16" s="101" t="s">
        <v>74</v>
      </c>
      <c r="S16" s="24" t="s">
        <v>37</v>
      </c>
      <c r="T16" s="40" t="s">
        <v>75</v>
      </c>
      <c r="U16" s="81" t="s">
        <v>76</v>
      </c>
    </row>
    <row r="17" s="3" customFormat="1" ht="89" customHeight="1" spans="1:21">
      <c r="A17" s="39">
        <v>12</v>
      </c>
      <c r="B17" s="40" t="s">
        <v>77</v>
      </c>
      <c r="C17" s="14" t="s">
        <v>32</v>
      </c>
      <c r="D17" s="14" t="s">
        <v>40</v>
      </c>
      <c r="E17" s="14" t="s">
        <v>34</v>
      </c>
      <c r="F17" s="41" t="s">
        <v>78</v>
      </c>
      <c r="G17" s="42">
        <v>45962</v>
      </c>
      <c r="H17" s="43">
        <v>46661</v>
      </c>
      <c r="I17" s="56">
        <v>2380</v>
      </c>
      <c r="J17" s="56">
        <v>780</v>
      </c>
      <c r="K17" s="56">
        <v>1600</v>
      </c>
      <c r="L17" s="57">
        <v>2136</v>
      </c>
      <c r="M17" s="57">
        <v>700</v>
      </c>
      <c r="N17" s="57">
        <v>1436</v>
      </c>
      <c r="O17" s="58">
        <f t="shared" si="0"/>
        <v>80</v>
      </c>
      <c r="P17" s="58">
        <f t="shared" si="1"/>
        <v>164</v>
      </c>
      <c r="Q17" s="74">
        <v>85</v>
      </c>
      <c r="R17" s="75" t="s">
        <v>36</v>
      </c>
      <c r="S17" s="24" t="s">
        <v>37</v>
      </c>
      <c r="T17" s="40"/>
      <c r="U17" s="77" t="s">
        <v>79</v>
      </c>
    </row>
    <row r="18" s="3" customFormat="1" ht="89" customHeight="1" spans="1:21">
      <c r="A18" s="39">
        <v>13</v>
      </c>
      <c r="B18" s="40" t="s">
        <v>80</v>
      </c>
      <c r="C18" s="14" t="s">
        <v>32</v>
      </c>
      <c r="D18" s="14" t="s">
        <v>33</v>
      </c>
      <c r="E18" s="14" t="s">
        <v>34</v>
      </c>
      <c r="F18" s="45" t="s">
        <v>81</v>
      </c>
      <c r="G18" s="42">
        <v>45962</v>
      </c>
      <c r="H18" s="43">
        <v>47027</v>
      </c>
      <c r="I18" s="56">
        <v>2400</v>
      </c>
      <c r="J18" s="56">
        <v>800</v>
      </c>
      <c r="K18" s="56">
        <v>1600</v>
      </c>
      <c r="L18" s="57">
        <v>2151</v>
      </c>
      <c r="M18" s="57">
        <v>717</v>
      </c>
      <c r="N18" s="57">
        <v>1434</v>
      </c>
      <c r="O18" s="58">
        <f t="shared" si="0"/>
        <v>83</v>
      </c>
      <c r="P18" s="58">
        <f t="shared" si="1"/>
        <v>166</v>
      </c>
      <c r="Q18" s="74">
        <v>84.5</v>
      </c>
      <c r="R18" s="75" t="s">
        <v>74</v>
      </c>
      <c r="S18" s="24" t="s">
        <v>37</v>
      </c>
      <c r="T18" s="40"/>
      <c r="U18" s="77" t="s">
        <v>82</v>
      </c>
    </row>
    <row r="19" s="3" customFormat="1" ht="89" customHeight="1" spans="1:21">
      <c r="A19" s="39">
        <v>14</v>
      </c>
      <c r="B19" s="44" t="s">
        <v>83</v>
      </c>
      <c r="C19" s="14" t="s">
        <v>32</v>
      </c>
      <c r="D19" s="14" t="s">
        <v>52</v>
      </c>
      <c r="E19" s="14" t="s">
        <v>34</v>
      </c>
      <c r="F19" s="41" t="s">
        <v>84</v>
      </c>
      <c r="G19" s="42">
        <v>45962</v>
      </c>
      <c r="H19" s="43">
        <v>47027</v>
      </c>
      <c r="I19" s="60">
        <v>1200</v>
      </c>
      <c r="J19" s="60">
        <v>400</v>
      </c>
      <c r="K19" s="60">
        <v>800</v>
      </c>
      <c r="L19" s="57">
        <v>1125</v>
      </c>
      <c r="M19" s="57">
        <v>375</v>
      </c>
      <c r="N19" s="57">
        <v>750</v>
      </c>
      <c r="O19" s="58">
        <f t="shared" si="0"/>
        <v>25</v>
      </c>
      <c r="P19" s="58">
        <f t="shared" si="1"/>
        <v>50</v>
      </c>
      <c r="Q19" s="74">
        <v>84.15</v>
      </c>
      <c r="R19" s="75" t="s">
        <v>85</v>
      </c>
      <c r="S19" s="24" t="s">
        <v>37</v>
      </c>
      <c r="T19" s="40" t="s">
        <v>54</v>
      </c>
      <c r="U19" s="77" t="s">
        <v>86</v>
      </c>
    </row>
    <row r="20" s="3" customFormat="1" ht="89" customHeight="1" spans="1:21">
      <c r="A20" s="39">
        <v>15</v>
      </c>
      <c r="B20" s="40" t="s">
        <v>87</v>
      </c>
      <c r="C20" s="14" t="s">
        <v>32</v>
      </c>
      <c r="D20" s="14" t="s">
        <v>40</v>
      </c>
      <c r="E20" s="14" t="s">
        <v>34</v>
      </c>
      <c r="F20" s="41" t="s">
        <v>88</v>
      </c>
      <c r="G20" s="42">
        <v>45962</v>
      </c>
      <c r="H20" s="43">
        <v>46661</v>
      </c>
      <c r="I20" s="56">
        <v>1800</v>
      </c>
      <c r="J20" s="56">
        <v>600</v>
      </c>
      <c r="K20" s="56">
        <v>1200</v>
      </c>
      <c r="L20" s="57">
        <v>1698</v>
      </c>
      <c r="M20" s="57">
        <v>566</v>
      </c>
      <c r="N20" s="57">
        <v>1132</v>
      </c>
      <c r="O20" s="58">
        <f t="shared" si="0"/>
        <v>34</v>
      </c>
      <c r="P20" s="58">
        <f t="shared" si="1"/>
        <v>68</v>
      </c>
      <c r="Q20" s="74">
        <v>83.22</v>
      </c>
      <c r="R20" s="101" t="s">
        <v>61</v>
      </c>
      <c r="S20" s="24" t="s">
        <v>37</v>
      </c>
      <c r="T20" s="40" t="s">
        <v>75</v>
      </c>
      <c r="U20" s="77" t="s">
        <v>89</v>
      </c>
    </row>
    <row r="21" s="3" customFormat="1" ht="89" customHeight="1" spans="1:21">
      <c r="A21" s="39">
        <v>16</v>
      </c>
      <c r="B21" s="44" t="s">
        <v>90</v>
      </c>
      <c r="C21" s="14" t="s">
        <v>32</v>
      </c>
      <c r="D21" s="14" t="s">
        <v>40</v>
      </c>
      <c r="E21" s="14" t="s">
        <v>34</v>
      </c>
      <c r="F21" s="45" t="s">
        <v>91</v>
      </c>
      <c r="G21" s="42">
        <v>45962</v>
      </c>
      <c r="H21" s="43">
        <v>46661</v>
      </c>
      <c r="I21" s="60">
        <v>2400</v>
      </c>
      <c r="J21" s="60">
        <v>800</v>
      </c>
      <c r="K21" s="60">
        <v>1600</v>
      </c>
      <c r="L21" s="57">
        <v>2160</v>
      </c>
      <c r="M21" s="57">
        <v>720</v>
      </c>
      <c r="N21" s="57">
        <v>1440</v>
      </c>
      <c r="O21" s="58">
        <f t="shared" si="0"/>
        <v>80</v>
      </c>
      <c r="P21" s="58">
        <f t="shared" si="1"/>
        <v>160</v>
      </c>
      <c r="Q21" s="74">
        <v>81.93</v>
      </c>
      <c r="R21" s="101" t="s">
        <v>92</v>
      </c>
      <c r="S21" s="24" t="s">
        <v>37</v>
      </c>
      <c r="T21" s="40" t="s">
        <v>75</v>
      </c>
      <c r="U21" s="81" t="s">
        <v>93</v>
      </c>
    </row>
    <row r="22" s="3" customFormat="1" ht="89" customHeight="1" spans="1:23">
      <c r="A22" s="39">
        <v>17</v>
      </c>
      <c r="B22" s="40" t="s">
        <v>94</v>
      </c>
      <c r="C22" s="14" t="s">
        <v>32</v>
      </c>
      <c r="D22" s="14" t="s">
        <v>33</v>
      </c>
      <c r="E22" s="14" t="s">
        <v>34</v>
      </c>
      <c r="F22" s="41" t="s">
        <v>95</v>
      </c>
      <c r="G22" s="42">
        <v>45962</v>
      </c>
      <c r="H22" s="43">
        <v>47027</v>
      </c>
      <c r="I22" s="60">
        <v>2400</v>
      </c>
      <c r="J22" s="60">
        <v>800</v>
      </c>
      <c r="K22" s="60">
        <v>1600</v>
      </c>
      <c r="L22" s="57">
        <v>2190</v>
      </c>
      <c r="M22" s="57">
        <v>730</v>
      </c>
      <c r="N22" s="57">
        <v>1460</v>
      </c>
      <c r="O22" s="58">
        <f t="shared" si="0"/>
        <v>70</v>
      </c>
      <c r="P22" s="58">
        <f t="shared" si="1"/>
        <v>140</v>
      </c>
      <c r="Q22" s="74">
        <v>81.57</v>
      </c>
      <c r="R22" s="101" t="s">
        <v>36</v>
      </c>
      <c r="S22" s="24" t="s">
        <v>37</v>
      </c>
      <c r="T22" s="46" t="s">
        <v>96</v>
      </c>
      <c r="U22" s="76" t="s">
        <v>43</v>
      </c>
      <c r="W22" s="40" t="s">
        <v>97</v>
      </c>
    </row>
    <row r="23" s="3" customFormat="1" ht="89" customHeight="1" spans="1:21">
      <c r="A23" s="39">
        <v>18</v>
      </c>
      <c r="B23" s="44" t="s">
        <v>98</v>
      </c>
      <c r="C23" s="14" t="s">
        <v>32</v>
      </c>
      <c r="D23" s="14" t="s">
        <v>33</v>
      </c>
      <c r="E23" s="14" t="s">
        <v>34</v>
      </c>
      <c r="F23" s="41" t="s">
        <v>99</v>
      </c>
      <c r="G23" s="42">
        <v>45962</v>
      </c>
      <c r="H23" s="43">
        <v>46661</v>
      </c>
      <c r="I23" s="60">
        <v>2340</v>
      </c>
      <c r="J23" s="60">
        <v>780</v>
      </c>
      <c r="K23" s="60">
        <v>1560</v>
      </c>
      <c r="L23" s="57">
        <v>2025</v>
      </c>
      <c r="M23" s="57">
        <v>675</v>
      </c>
      <c r="N23" s="57">
        <v>1350</v>
      </c>
      <c r="O23" s="58">
        <f t="shared" si="0"/>
        <v>105</v>
      </c>
      <c r="P23" s="58">
        <f t="shared" si="1"/>
        <v>210</v>
      </c>
      <c r="Q23" s="74">
        <v>80.36</v>
      </c>
      <c r="R23" s="75" t="s">
        <v>74</v>
      </c>
      <c r="S23" s="17" t="s">
        <v>100</v>
      </c>
      <c r="T23" s="40" t="s">
        <v>101</v>
      </c>
      <c r="U23" s="81" t="s">
        <v>102</v>
      </c>
    </row>
    <row r="24" s="3" customFormat="1" ht="89" customHeight="1" spans="1:21">
      <c r="A24" s="39">
        <v>19</v>
      </c>
      <c r="B24" s="44" t="s">
        <v>103</v>
      </c>
      <c r="C24" s="14" t="s">
        <v>32</v>
      </c>
      <c r="D24" s="14" t="s">
        <v>40</v>
      </c>
      <c r="E24" s="14" t="s">
        <v>34</v>
      </c>
      <c r="F24" s="41" t="s">
        <v>104</v>
      </c>
      <c r="G24" s="42">
        <v>45962</v>
      </c>
      <c r="H24" s="43">
        <v>46661</v>
      </c>
      <c r="I24" s="60">
        <v>1800</v>
      </c>
      <c r="J24" s="60">
        <v>600</v>
      </c>
      <c r="K24" s="60">
        <v>1200</v>
      </c>
      <c r="L24" s="57">
        <v>1620</v>
      </c>
      <c r="M24" s="57">
        <v>540</v>
      </c>
      <c r="N24" s="57">
        <v>1080</v>
      </c>
      <c r="O24" s="58">
        <f t="shared" si="0"/>
        <v>60</v>
      </c>
      <c r="P24" s="58">
        <f t="shared" si="1"/>
        <v>120</v>
      </c>
      <c r="Q24" s="74">
        <v>79.36</v>
      </c>
      <c r="R24" s="101" t="s">
        <v>74</v>
      </c>
      <c r="S24" s="17" t="s">
        <v>100</v>
      </c>
      <c r="T24" s="40" t="s">
        <v>105</v>
      </c>
      <c r="U24" s="81" t="s">
        <v>106</v>
      </c>
    </row>
    <row r="25" s="3" customFormat="1" ht="89" customHeight="1" spans="1:21">
      <c r="A25" s="39">
        <v>20</v>
      </c>
      <c r="B25" s="44" t="s">
        <v>107</v>
      </c>
      <c r="C25" s="14" t="s">
        <v>108</v>
      </c>
      <c r="D25" s="14" t="s">
        <v>109</v>
      </c>
      <c r="E25" s="14" t="s">
        <v>34</v>
      </c>
      <c r="F25" s="41" t="s">
        <v>110</v>
      </c>
      <c r="G25" s="15">
        <v>45962</v>
      </c>
      <c r="H25" s="43">
        <v>46631</v>
      </c>
      <c r="I25" s="56">
        <v>3000</v>
      </c>
      <c r="J25" s="56">
        <v>1000</v>
      </c>
      <c r="K25" s="56">
        <v>2000</v>
      </c>
      <c r="L25" s="61">
        <f>SUBTOTAL(9,M25:N25)</f>
        <v>2556</v>
      </c>
      <c r="M25" s="61">
        <f>902-50</f>
        <v>852</v>
      </c>
      <c r="N25" s="61">
        <v>1704</v>
      </c>
      <c r="O25" s="58">
        <f t="shared" si="0"/>
        <v>148</v>
      </c>
      <c r="P25" s="58">
        <f t="shared" si="1"/>
        <v>296</v>
      </c>
      <c r="Q25" s="74">
        <v>89.25</v>
      </c>
      <c r="R25" s="101" t="s">
        <v>111</v>
      </c>
      <c r="S25" s="24" t="s">
        <v>37</v>
      </c>
      <c r="T25" s="40"/>
      <c r="U25" s="40" t="s">
        <v>112</v>
      </c>
    </row>
    <row r="26" s="3" customFormat="1" ht="89" customHeight="1" spans="1:21">
      <c r="A26" s="39">
        <v>21</v>
      </c>
      <c r="B26" s="44" t="s">
        <v>113</v>
      </c>
      <c r="C26" s="14" t="s">
        <v>108</v>
      </c>
      <c r="D26" s="14" t="s">
        <v>109</v>
      </c>
      <c r="E26" s="14" t="s">
        <v>34</v>
      </c>
      <c r="F26" s="41" t="s">
        <v>114</v>
      </c>
      <c r="G26" s="15">
        <v>45962</v>
      </c>
      <c r="H26" s="43">
        <v>47026</v>
      </c>
      <c r="I26" s="56">
        <v>3000</v>
      </c>
      <c r="J26" s="56">
        <v>1000</v>
      </c>
      <c r="K26" s="56">
        <v>2000</v>
      </c>
      <c r="L26" s="61">
        <f>SUBTOTAL(9,M26:N26)</f>
        <v>2625</v>
      </c>
      <c r="M26" s="61">
        <f>925-50</f>
        <v>875</v>
      </c>
      <c r="N26" s="61">
        <v>1750</v>
      </c>
      <c r="O26" s="58">
        <f t="shared" si="0"/>
        <v>125</v>
      </c>
      <c r="P26" s="58">
        <f t="shared" si="1"/>
        <v>250</v>
      </c>
      <c r="Q26" s="74">
        <v>89.09</v>
      </c>
      <c r="R26" s="101" t="s">
        <v>111</v>
      </c>
      <c r="S26" s="24" t="s">
        <v>37</v>
      </c>
      <c r="T26" s="40"/>
      <c r="U26" s="40" t="s">
        <v>115</v>
      </c>
    </row>
    <row r="27" s="3" customFormat="1" ht="89" customHeight="1" spans="1:21">
      <c r="A27" s="39">
        <v>22</v>
      </c>
      <c r="B27" s="40" t="s">
        <v>116</v>
      </c>
      <c r="C27" s="14" t="s">
        <v>108</v>
      </c>
      <c r="D27" s="14" t="s">
        <v>117</v>
      </c>
      <c r="E27" s="14" t="s">
        <v>34</v>
      </c>
      <c r="F27" s="41" t="s">
        <v>118</v>
      </c>
      <c r="G27" s="15">
        <v>45962</v>
      </c>
      <c r="H27" s="43">
        <v>46631</v>
      </c>
      <c r="I27" s="56">
        <v>2040</v>
      </c>
      <c r="J27" s="56">
        <v>680</v>
      </c>
      <c r="K27" s="56">
        <v>1360</v>
      </c>
      <c r="L27" s="57">
        <v>1926</v>
      </c>
      <c r="M27" s="57">
        <v>642</v>
      </c>
      <c r="N27" s="57">
        <v>1284</v>
      </c>
      <c r="O27" s="58">
        <f t="shared" si="0"/>
        <v>38</v>
      </c>
      <c r="P27" s="58">
        <f t="shared" si="1"/>
        <v>76</v>
      </c>
      <c r="Q27" s="74">
        <v>89</v>
      </c>
      <c r="R27" s="101" t="s">
        <v>111</v>
      </c>
      <c r="S27" s="24" t="s">
        <v>37</v>
      </c>
      <c r="T27" s="40"/>
      <c r="U27" s="40" t="s">
        <v>119</v>
      </c>
    </row>
    <row r="28" s="3" customFormat="1" ht="89" customHeight="1" spans="1:21">
      <c r="A28" s="39">
        <v>23</v>
      </c>
      <c r="B28" s="40" t="s">
        <v>120</v>
      </c>
      <c r="C28" s="14" t="s">
        <v>108</v>
      </c>
      <c r="D28" s="14" t="s">
        <v>109</v>
      </c>
      <c r="E28" s="14" t="s">
        <v>34</v>
      </c>
      <c r="F28" s="41" t="s">
        <v>121</v>
      </c>
      <c r="G28" s="15">
        <v>45962</v>
      </c>
      <c r="H28" s="43">
        <v>46631</v>
      </c>
      <c r="I28" s="56">
        <v>3000</v>
      </c>
      <c r="J28" s="56">
        <v>1000</v>
      </c>
      <c r="K28" s="56">
        <v>2000</v>
      </c>
      <c r="L28" s="57">
        <v>2643</v>
      </c>
      <c r="M28" s="57">
        <v>881</v>
      </c>
      <c r="N28" s="57">
        <v>1762</v>
      </c>
      <c r="O28" s="58">
        <f t="shared" si="0"/>
        <v>119</v>
      </c>
      <c r="P28" s="58">
        <f t="shared" si="1"/>
        <v>238</v>
      </c>
      <c r="Q28" s="74">
        <v>88.17</v>
      </c>
      <c r="R28" s="101" t="s">
        <v>122</v>
      </c>
      <c r="S28" s="24" t="s">
        <v>37</v>
      </c>
      <c r="T28" s="40"/>
      <c r="U28" s="40" t="s">
        <v>123</v>
      </c>
    </row>
    <row r="29" s="3" customFormat="1" ht="89" customHeight="1" spans="1:23">
      <c r="A29" s="39">
        <v>24</v>
      </c>
      <c r="B29" s="40" t="s">
        <v>124</v>
      </c>
      <c r="C29" s="14" t="s">
        <v>108</v>
      </c>
      <c r="D29" s="14" t="s">
        <v>125</v>
      </c>
      <c r="E29" s="14" t="s">
        <v>34</v>
      </c>
      <c r="F29" s="41" t="s">
        <v>126</v>
      </c>
      <c r="G29" s="15">
        <v>45962</v>
      </c>
      <c r="H29" s="43">
        <v>46631</v>
      </c>
      <c r="I29" s="56">
        <v>3600</v>
      </c>
      <c r="J29" s="56">
        <v>1200</v>
      </c>
      <c r="K29" s="56">
        <v>2400</v>
      </c>
      <c r="L29" s="61">
        <f>SUBTOTAL(9,M29:N29)</f>
        <v>3165</v>
      </c>
      <c r="M29" s="61">
        <f>1155-100</f>
        <v>1055</v>
      </c>
      <c r="N29" s="61">
        <v>2110</v>
      </c>
      <c r="O29" s="58">
        <f t="shared" si="0"/>
        <v>145</v>
      </c>
      <c r="P29" s="58">
        <f t="shared" si="1"/>
        <v>290</v>
      </c>
      <c r="Q29" s="74">
        <v>87.67</v>
      </c>
      <c r="R29" s="101" t="s">
        <v>127</v>
      </c>
      <c r="S29" s="24" t="s">
        <v>37</v>
      </c>
      <c r="T29" s="46"/>
      <c r="U29" s="44" t="s">
        <v>128</v>
      </c>
      <c r="W29" s="40" t="s">
        <v>129</v>
      </c>
    </row>
    <row r="30" s="3" customFormat="1" ht="89" customHeight="1" spans="1:21">
      <c r="A30" s="39">
        <v>25</v>
      </c>
      <c r="B30" s="40" t="s">
        <v>130</v>
      </c>
      <c r="C30" s="14" t="s">
        <v>108</v>
      </c>
      <c r="D30" s="14" t="s">
        <v>125</v>
      </c>
      <c r="E30" s="14" t="s">
        <v>34</v>
      </c>
      <c r="F30" s="41" t="s">
        <v>131</v>
      </c>
      <c r="G30" s="15">
        <v>45962</v>
      </c>
      <c r="H30" s="43">
        <v>46631</v>
      </c>
      <c r="I30" s="56">
        <v>3000</v>
      </c>
      <c r="J30" s="56">
        <v>1000</v>
      </c>
      <c r="K30" s="56">
        <v>2000</v>
      </c>
      <c r="L30" s="57">
        <v>2628</v>
      </c>
      <c r="M30" s="57">
        <v>876</v>
      </c>
      <c r="N30" s="57">
        <v>1752</v>
      </c>
      <c r="O30" s="58">
        <f t="shared" si="0"/>
        <v>124</v>
      </c>
      <c r="P30" s="58">
        <f t="shared" si="1"/>
        <v>248</v>
      </c>
      <c r="Q30" s="74">
        <v>87.5</v>
      </c>
      <c r="R30" s="101" t="s">
        <v>111</v>
      </c>
      <c r="S30" s="24" t="s">
        <v>37</v>
      </c>
      <c r="T30" s="40"/>
      <c r="U30" s="44" t="s">
        <v>128</v>
      </c>
    </row>
    <row r="31" s="3" customFormat="1" ht="89" customHeight="1" spans="1:21">
      <c r="A31" s="39">
        <v>26</v>
      </c>
      <c r="B31" s="40" t="s">
        <v>132</v>
      </c>
      <c r="C31" s="14" t="s">
        <v>108</v>
      </c>
      <c r="D31" s="14" t="s">
        <v>133</v>
      </c>
      <c r="E31" s="14" t="s">
        <v>34</v>
      </c>
      <c r="F31" s="41" t="s">
        <v>134</v>
      </c>
      <c r="G31" s="15">
        <v>45962</v>
      </c>
      <c r="H31" s="43">
        <v>46631</v>
      </c>
      <c r="I31" s="56">
        <v>3000</v>
      </c>
      <c r="J31" s="56">
        <v>1000</v>
      </c>
      <c r="K31" s="56">
        <v>2000</v>
      </c>
      <c r="L31" s="57">
        <v>2580</v>
      </c>
      <c r="M31" s="57">
        <v>860</v>
      </c>
      <c r="N31" s="57">
        <v>1720</v>
      </c>
      <c r="O31" s="58">
        <f t="shared" si="0"/>
        <v>140</v>
      </c>
      <c r="P31" s="58">
        <f t="shared" si="1"/>
        <v>280</v>
      </c>
      <c r="Q31" s="74">
        <v>87.25</v>
      </c>
      <c r="R31" s="101" t="s">
        <v>127</v>
      </c>
      <c r="S31" s="24" t="s">
        <v>37</v>
      </c>
      <c r="T31" s="40"/>
      <c r="U31" s="40" t="s">
        <v>135</v>
      </c>
    </row>
    <row r="32" s="3" customFormat="1" ht="89" customHeight="1" spans="1:21">
      <c r="A32" s="39">
        <v>27</v>
      </c>
      <c r="B32" s="40" t="s">
        <v>136</v>
      </c>
      <c r="C32" s="14" t="s">
        <v>108</v>
      </c>
      <c r="D32" s="14" t="s">
        <v>117</v>
      </c>
      <c r="E32" s="14" t="s">
        <v>34</v>
      </c>
      <c r="F32" s="41" t="s">
        <v>137</v>
      </c>
      <c r="G32" s="15">
        <v>45962</v>
      </c>
      <c r="H32" s="43">
        <v>46631</v>
      </c>
      <c r="I32" s="62">
        <v>2400</v>
      </c>
      <c r="J32" s="62">
        <v>800</v>
      </c>
      <c r="K32" s="62">
        <v>1600</v>
      </c>
      <c r="L32" s="57">
        <v>2262</v>
      </c>
      <c r="M32" s="57">
        <v>754</v>
      </c>
      <c r="N32" s="57">
        <v>1508</v>
      </c>
      <c r="O32" s="58">
        <f t="shared" si="0"/>
        <v>46</v>
      </c>
      <c r="P32" s="58">
        <f t="shared" si="1"/>
        <v>92</v>
      </c>
      <c r="Q32" s="74">
        <v>86.42</v>
      </c>
      <c r="R32" s="101" t="s">
        <v>122</v>
      </c>
      <c r="S32" s="24" t="s">
        <v>37</v>
      </c>
      <c r="T32" s="40"/>
      <c r="U32" s="40" t="s">
        <v>138</v>
      </c>
    </row>
    <row r="33" s="3" customFormat="1" ht="89" customHeight="1" spans="1:21">
      <c r="A33" s="39">
        <v>28</v>
      </c>
      <c r="B33" s="40" t="s">
        <v>139</v>
      </c>
      <c r="C33" s="14" t="s">
        <v>108</v>
      </c>
      <c r="D33" s="14" t="s">
        <v>133</v>
      </c>
      <c r="E33" s="14" t="s">
        <v>34</v>
      </c>
      <c r="F33" s="41" t="s">
        <v>140</v>
      </c>
      <c r="G33" s="15">
        <v>45962</v>
      </c>
      <c r="H33" s="43">
        <v>46660</v>
      </c>
      <c r="I33" s="56">
        <v>3000</v>
      </c>
      <c r="J33" s="56">
        <v>1000</v>
      </c>
      <c r="K33" s="56">
        <v>2000</v>
      </c>
      <c r="L33" s="57">
        <v>2601</v>
      </c>
      <c r="M33" s="57">
        <v>867</v>
      </c>
      <c r="N33" s="57">
        <v>1734</v>
      </c>
      <c r="O33" s="58">
        <f t="shared" si="0"/>
        <v>133</v>
      </c>
      <c r="P33" s="58">
        <f t="shared" si="1"/>
        <v>266</v>
      </c>
      <c r="Q33" s="74">
        <v>86.34</v>
      </c>
      <c r="R33" s="101" t="s">
        <v>111</v>
      </c>
      <c r="S33" s="24" t="s">
        <v>37</v>
      </c>
      <c r="T33" s="40"/>
      <c r="U33" s="40" t="s">
        <v>141</v>
      </c>
    </row>
    <row r="34" s="3" customFormat="1" ht="89" customHeight="1" spans="1:21">
      <c r="A34" s="39">
        <v>29</v>
      </c>
      <c r="B34" s="40" t="s">
        <v>142</v>
      </c>
      <c r="C34" s="14" t="s">
        <v>108</v>
      </c>
      <c r="D34" s="14" t="s">
        <v>133</v>
      </c>
      <c r="E34" s="14" t="s">
        <v>34</v>
      </c>
      <c r="F34" s="41" t="s">
        <v>143</v>
      </c>
      <c r="G34" s="15">
        <v>45962</v>
      </c>
      <c r="H34" s="43">
        <v>46631</v>
      </c>
      <c r="I34" s="56">
        <v>2952</v>
      </c>
      <c r="J34" s="56">
        <v>984</v>
      </c>
      <c r="K34" s="56">
        <v>1968</v>
      </c>
      <c r="L34" s="57">
        <v>2556</v>
      </c>
      <c r="M34" s="57">
        <v>852</v>
      </c>
      <c r="N34" s="57">
        <v>1704</v>
      </c>
      <c r="O34" s="58">
        <f t="shared" si="0"/>
        <v>132</v>
      </c>
      <c r="P34" s="58">
        <f t="shared" si="1"/>
        <v>264</v>
      </c>
      <c r="Q34" s="74">
        <v>85.75</v>
      </c>
      <c r="R34" s="101" t="s">
        <v>111</v>
      </c>
      <c r="S34" s="24" t="s">
        <v>37</v>
      </c>
      <c r="T34" s="40"/>
      <c r="U34" s="40" t="s">
        <v>144</v>
      </c>
    </row>
    <row r="35" s="3" customFormat="1" ht="89" customHeight="1" spans="1:21">
      <c r="A35" s="39">
        <v>30</v>
      </c>
      <c r="B35" s="40" t="s">
        <v>145</v>
      </c>
      <c r="C35" s="14" t="s">
        <v>108</v>
      </c>
      <c r="D35" s="14" t="s">
        <v>133</v>
      </c>
      <c r="E35" s="14" t="s">
        <v>34</v>
      </c>
      <c r="F35" s="41" t="s">
        <v>146</v>
      </c>
      <c r="G35" s="15">
        <v>45962</v>
      </c>
      <c r="H35" s="43">
        <v>46631</v>
      </c>
      <c r="I35" s="56">
        <v>3000</v>
      </c>
      <c r="J35" s="56">
        <v>1000</v>
      </c>
      <c r="K35" s="56">
        <v>2000</v>
      </c>
      <c r="L35" s="57">
        <v>2655</v>
      </c>
      <c r="M35" s="57">
        <v>885</v>
      </c>
      <c r="N35" s="57">
        <v>1770</v>
      </c>
      <c r="O35" s="58">
        <f t="shared" si="0"/>
        <v>115</v>
      </c>
      <c r="P35" s="58">
        <f t="shared" si="1"/>
        <v>230</v>
      </c>
      <c r="Q35" s="74">
        <v>85.67</v>
      </c>
      <c r="R35" s="101" t="s">
        <v>111</v>
      </c>
      <c r="S35" s="24" t="s">
        <v>37</v>
      </c>
      <c r="T35" s="40"/>
      <c r="U35" s="40" t="s">
        <v>147</v>
      </c>
    </row>
    <row r="36" s="3" customFormat="1" ht="89" customHeight="1" spans="1:21">
      <c r="A36" s="39">
        <v>31</v>
      </c>
      <c r="B36" s="40" t="s">
        <v>148</v>
      </c>
      <c r="C36" s="14" t="s">
        <v>108</v>
      </c>
      <c r="D36" s="14" t="s">
        <v>133</v>
      </c>
      <c r="E36" s="14" t="s">
        <v>34</v>
      </c>
      <c r="F36" s="41" t="s">
        <v>149</v>
      </c>
      <c r="G36" s="15">
        <v>45962</v>
      </c>
      <c r="H36" s="43">
        <v>46631</v>
      </c>
      <c r="I36" s="56">
        <v>2250</v>
      </c>
      <c r="J36" s="56">
        <v>750</v>
      </c>
      <c r="K36" s="56">
        <v>1500</v>
      </c>
      <c r="L36" s="57">
        <v>2088</v>
      </c>
      <c r="M36" s="57">
        <v>696</v>
      </c>
      <c r="N36" s="57">
        <v>1392</v>
      </c>
      <c r="O36" s="58">
        <f t="shared" si="0"/>
        <v>54</v>
      </c>
      <c r="P36" s="58">
        <f t="shared" si="1"/>
        <v>108</v>
      </c>
      <c r="Q36" s="74">
        <v>85.5</v>
      </c>
      <c r="R36" s="101" t="s">
        <v>111</v>
      </c>
      <c r="S36" s="24" t="s">
        <v>37</v>
      </c>
      <c r="T36" s="82"/>
      <c r="U36" s="82" t="s">
        <v>150</v>
      </c>
    </row>
    <row r="37" s="3" customFormat="1" ht="89" customHeight="1" spans="1:21">
      <c r="A37" s="39">
        <v>32</v>
      </c>
      <c r="B37" s="44" t="s">
        <v>151</v>
      </c>
      <c r="C37" s="14" t="s">
        <v>108</v>
      </c>
      <c r="D37" s="14" t="s">
        <v>125</v>
      </c>
      <c r="E37" s="14" t="s">
        <v>34</v>
      </c>
      <c r="F37" s="41" t="s">
        <v>152</v>
      </c>
      <c r="G37" s="15">
        <v>45962</v>
      </c>
      <c r="H37" s="43">
        <v>46631</v>
      </c>
      <c r="I37" s="56">
        <v>1850</v>
      </c>
      <c r="J37" s="56">
        <v>600</v>
      </c>
      <c r="K37" s="56">
        <v>1250</v>
      </c>
      <c r="L37" s="57">
        <v>1730</v>
      </c>
      <c r="M37" s="57">
        <v>561</v>
      </c>
      <c r="N37" s="57">
        <v>1169</v>
      </c>
      <c r="O37" s="58">
        <f t="shared" si="0"/>
        <v>39</v>
      </c>
      <c r="P37" s="58">
        <f t="shared" si="1"/>
        <v>81</v>
      </c>
      <c r="Q37" s="74">
        <v>85.17</v>
      </c>
      <c r="R37" s="101" t="s">
        <v>122</v>
      </c>
      <c r="S37" s="24" t="s">
        <v>37</v>
      </c>
      <c r="T37" s="40"/>
      <c r="U37" s="40" t="s">
        <v>153</v>
      </c>
    </row>
    <row r="38" s="3" customFormat="1" ht="89" customHeight="1" spans="1:21">
      <c r="A38" s="39">
        <v>33</v>
      </c>
      <c r="B38" s="40" t="s">
        <v>154</v>
      </c>
      <c r="C38" s="14" t="s">
        <v>108</v>
      </c>
      <c r="D38" s="14" t="s">
        <v>133</v>
      </c>
      <c r="E38" s="14" t="s">
        <v>34</v>
      </c>
      <c r="F38" s="41" t="s">
        <v>155</v>
      </c>
      <c r="G38" s="15">
        <v>45962</v>
      </c>
      <c r="H38" s="43">
        <v>46631</v>
      </c>
      <c r="I38" s="56">
        <v>3000</v>
      </c>
      <c r="J38" s="56">
        <v>1000</v>
      </c>
      <c r="K38" s="56">
        <v>2000</v>
      </c>
      <c r="L38" s="57">
        <v>2499</v>
      </c>
      <c r="M38" s="57">
        <v>833</v>
      </c>
      <c r="N38" s="57">
        <v>1666</v>
      </c>
      <c r="O38" s="58">
        <f t="shared" si="0"/>
        <v>167</v>
      </c>
      <c r="P38" s="58">
        <f t="shared" si="1"/>
        <v>334</v>
      </c>
      <c r="Q38" s="74">
        <v>85.17</v>
      </c>
      <c r="R38" s="101" t="s">
        <v>156</v>
      </c>
      <c r="S38" s="24" t="s">
        <v>37</v>
      </c>
      <c r="T38" s="40"/>
      <c r="U38" s="40" t="s">
        <v>157</v>
      </c>
    </row>
    <row r="39" s="3" customFormat="1" ht="89" customHeight="1" spans="1:23">
      <c r="A39" s="39">
        <v>34</v>
      </c>
      <c r="B39" s="40" t="s">
        <v>158</v>
      </c>
      <c r="C39" s="14" t="s">
        <v>108</v>
      </c>
      <c r="D39" s="14" t="s">
        <v>125</v>
      </c>
      <c r="E39" s="14" t="s">
        <v>34</v>
      </c>
      <c r="F39" s="41" t="s">
        <v>159</v>
      </c>
      <c r="G39" s="15">
        <v>45962</v>
      </c>
      <c r="H39" s="43">
        <v>47026</v>
      </c>
      <c r="I39" s="56">
        <v>1800</v>
      </c>
      <c r="J39" s="56">
        <v>600</v>
      </c>
      <c r="K39" s="56">
        <v>1200</v>
      </c>
      <c r="L39" s="57">
        <v>1674</v>
      </c>
      <c r="M39" s="57">
        <v>558</v>
      </c>
      <c r="N39" s="57">
        <v>1116</v>
      </c>
      <c r="O39" s="58">
        <f t="shared" si="0"/>
        <v>42</v>
      </c>
      <c r="P39" s="58">
        <f t="shared" si="1"/>
        <v>84</v>
      </c>
      <c r="Q39" s="74">
        <v>84.84</v>
      </c>
      <c r="R39" s="101" t="s">
        <v>111</v>
      </c>
      <c r="S39" s="24" t="s">
        <v>37</v>
      </c>
      <c r="T39" s="46" t="s">
        <v>96</v>
      </c>
      <c r="U39" s="44" t="s">
        <v>160</v>
      </c>
      <c r="W39" s="40" t="s">
        <v>161</v>
      </c>
    </row>
    <row r="40" s="3" customFormat="1" ht="89" customHeight="1" spans="1:21">
      <c r="A40" s="39">
        <v>35</v>
      </c>
      <c r="B40" s="40" t="s">
        <v>162</v>
      </c>
      <c r="C40" s="14" t="s">
        <v>108</v>
      </c>
      <c r="D40" s="14" t="s">
        <v>133</v>
      </c>
      <c r="E40" s="14" t="s">
        <v>34</v>
      </c>
      <c r="F40" s="41" t="s">
        <v>163</v>
      </c>
      <c r="G40" s="15">
        <v>45962</v>
      </c>
      <c r="H40" s="43">
        <v>46997</v>
      </c>
      <c r="I40" s="56">
        <v>3000</v>
      </c>
      <c r="J40" s="56">
        <v>1000</v>
      </c>
      <c r="K40" s="56">
        <v>2000</v>
      </c>
      <c r="L40" s="57">
        <v>2658</v>
      </c>
      <c r="M40" s="57">
        <v>886</v>
      </c>
      <c r="N40" s="57">
        <v>1772</v>
      </c>
      <c r="O40" s="58">
        <f t="shared" si="0"/>
        <v>114</v>
      </c>
      <c r="P40" s="58">
        <f t="shared" si="1"/>
        <v>228</v>
      </c>
      <c r="Q40" s="74">
        <v>84.42</v>
      </c>
      <c r="R40" s="101" t="s">
        <v>111</v>
      </c>
      <c r="S40" s="17" t="s">
        <v>100</v>
      </c>
      <c r="T40" s="40" t="s">
        <v>101</v>
      </c>
      <c r="U40" s="40" t="s">
        <v>164</v>
      </c>
    </row>
    <row r="41" s="3" customFormat="1" ht="89" customHeight="1" spans="1:21">
      <c r="A41" s="39">
        <v>36</v>
      </c>
      <c r="B41" s="40" t="s">
        <v>165</v>
      </c>
      <c r="C41" s="14" t="s">
        <v>108</v>
      </c>
      <c r="D41" s="14" t="s">
        <v>133</v>
      </c>
      <c r="E41" s="14" t="s">
        <v>34</v>
      </c>
      <c r="F41" s="41" t="s">
        <v>166</v>
      </c>
      <c r="G41" s="15">
        <v>45962</v>
      </c>
      <c r="H41" s="43">
        <v>46631</v>
      </c>
      <c r="I41" s="56">
        <v>3000</v>
      </c>
      <c r="J41" s="56">
        <v>1000</v>
      </c>
      <c r="K41" s="56">
        <v>2000</v>
      </c>
      <c r="L41" s="57">
        <v>2535</v>
      </c>
      <c r="M41" s="57">
        <v>845</v>
      </c>
      <c r="N41" s="57">
        <v>1690</v>
      </c>
      <c r="O41" s="58">
        <f t="shared" si="0"/>
        <v>155</v>
      </c>
      <c r="P41" s="58">
        <f t="shared" si="1"/>
        <v>310</v>
      </c>
      <c r="Q41" s="74">
        <v>83.75</v>
      </c>
      <c r="R41" s="101" t="s">
        <v>127</v>
      </c>
      <c r="S41" s="17" t="s">
        <v>100</v>
      </c>
      <c r="T41" s="40" t="s">
        <v>101</v>
      </c>
      <c r="U41" s="40" t="s">
        <v>167</v>
      </c>
    </row>
    <row r="42" s="3" customFormat="1" ht="89" customHeight="1" spans="1:23">
      <c r="A42" s="39">
        <v>37</v>
      </c>
      <c r="B42" s="44" t="s">
        <v>168</v>
      </c>
      <c r="C42" s="14" t="s">
        <v>108</v>
      </c>
      <c r="D42" s="14" t="s">
        <v>125</v>
      </c>
      <c r="E42" s="14" t="s">
        <v>34</v>
      </c>
      <c r="F42" s="41" t="s">
        <v>169</v>
      </c>
      <c r="G42" s="15">
        <v>45962</v>
      </c>
      <c r="H42" s="43">
        <v>46660</v>
      </c>
      <c r="I42" s="56">
        <v>2100</v>
      </c>
      <c r="J42" s="56">
        <v>700</v>
      </c>
      <c r="K42" s="56">
        <v>1400</v>
      </c>
      <c r="L42" s="63">
        <f>SUBTOTAL(9,M42:N42)</f>
        <v>1995</v>
      </c>
      <c r="M42" s="63">
        <f>595+70</f>
        <v>665</v>
      </c>
      <c r="N42" s="63">
        <v>1330</v>
      </c>
      <c r="O42" s="58">
        <f t="shared" si="0"/>
        <v>35</v>
      </c>
      <c r="P42" s="58">
        <f t="shared" si="1"/>
        <v>70</v>
      </c>
      <c r="Q42" s="74">
        <v>83.67</v>
      </c>
      <c r="R42" s="101" t="s">
        <v>156</v>
      </c>
      <c r="S42" s="24" t="s">
        <v>37</v>
      </c>
      <c r="T42" s="46" t="s">
        <v>96</v>
      </c>
      <c r="U42" s="44" t="s">
        <v>160</v>
      </c>
      <c r="W42" s="40" t="s">
        <v>170</v>
      </c>
    </row>
    <row r="43" s="3" customFormat="1" ht="89" customHeight="1" spans="1:23">
      <c r="A43" s="39">
        <v>38</v>
      </c>
      <c r="B43" s="46" t="s">
        <v>171</v>
      </c>
      <c r="C43" s="14" t="s">
        <v>108</v>
      </c>
      <c r="D43" s="14" t="s">
        <v>133</v>
      </c>
      <c r="E43" s="14" t="s">
        <v>34</v>
      </c>
      <c r="F43" s="41" t="s">
        <v>172</v>
      </c>
      <c r="G43" s="15">
        <v>45962</v>
      </c>
      <c r="H43" s="43">
        <v>46997</v>
      </c>
      <c r="I43" s="64">
        <v>1740</v>
      </c>
      <c r="J43" s="64">
        <v>580</v>
      </c>
      <c r="K43" s="64">
        <v>1160</v>
      </c>
      <c r="L43" s="59">
        <f>SUBTOTAL(9,M43:N43)</f>
        <v>1698</v>
      </c>
      <c r="M43" s="59">
        <f>546+20</f>
        <v>566</v>
      </c>
      <c r="N43" s="59">
        <v>1132</v>
      </c>
      <c r="O43" s="58">
        <f t="shared" si="0"/>
        <v>14</v>
      </c>
      <c r="P43" s="58">
        <f t="shared" si="1"/>
        <v>28</v>
      </c>
      <c r="Q43" s="74">
        <v>82.34</v>
      </c>
      <c r="R43" s="101" t="s">
        <v>111</v>
      </c>
      <c r="S43" s="24" t="s">
        <v>37</v>
      </c>
      <c r="T43" s="46" t="s">
        <v>173</v>
      </c>
      <c r="U43" s="40" t="s">
        <v>174</v>
      </c>
      <c r="W43" s="40" t="s">
        <v>175</v>
      </c>
    </row>
    <row r="44" s="3" customFormat="1" ht="89" customHeight="1" spans="1:23">
      <c r="A44" s="39">
        <v>39</v>
      </c>
      <c r="B44" s="40" t="s">
        <v>176</v>
      </c>
      <c r="C44" s="14" t="s">
        <v>108</v>
      </c>
      <c r="D44" s="14" t="s">
        <v>133</v>
      </c>
      <c r="E44" s="14" t="s">
        <v>34</v>
      </c>
      <c r="F44" s="41" t="s">
        <v>177</v>
      </c>
      <c r="G44" s="15">
        <v>45962</v>
      </c>
      <c r="H44" s="43">
        <v>46997</v>
      </c>
      <c r="I44" s="56">
        <v>2100</v>
      </c>
      <c r="J44" s="56">
        <v>700</v>
      </c>
      <c r="K44" s="56">
        <v>1400</v>
      </c>
      <c r="L44" s="57">
        <v>1788</v>
      </c>
      <c r="M44" s="57">
        <v>596</v>
      </c>
      <c r="N44" s="57">
        <v>1192</v>
      </c>
      <c r="O44" s="58">
        <f t="shared" si="0"/>
        <v>104</v>
      </c>
      <c r="P44" s="58">
        <f t="shared" si="1"/>
        <v>208</v>
      </c>
      <c r="Q44" s="74">
        <v>80.44</v>
      </c>
      <c r="R44" s="101" t="s">
        <v>156</v>
      </c>
      <c r="S44" s="24" t="s">
        <v>37</v>
      </c>
      <c r="T44" s="40" t="s">
        <v>96</v>
      </c>
      <c r="U44" s="40" t="s">
        <v>178</v>
      </c>
      <c r="W44" s="40" t="s">
        <v>179</v>
      </c>
    </row>
    <row r="45" s="3" customFormat="1" ht="89" customHeight="1" spans="1:23">
      <c r="A45" s="39">
        <v>40</v>
      </c>
      <c r="B45" s="40" t="s">
        <v>180</v>
      </c>
      <c r="C45" s="14" t="s">
        <v>108</v>
      </c>
      <c r="D45" s="14" t="s">
        <v>125</v>
      </c>
      <c r="E45" s="14" t="s">
        <v>34</v>
      </c>
      <c r="F45" s="41" t="s">
        <v>181</v>
      </c>
      <c r="G45" s="15">
        <v>45962</v>
      </c>
      <c r="H45" s="43">
        <v>46660</v>
      </c>
      <c r="I45" s="56">
        <v>1530</v>
      </c>
      <c r="J45" s="56">
        <v>510</v>
      </c>
      <c r="K45" s="56">
        <v>1020</v>
      </c>
      <c r="L45" s="57">
        <v>1470</v>
      </c>
      <c r="M45" s="57">
        <v>490</v>
      </c>
      <c r="N45" s="57">
        <v>980</v>
      </c>
      <c r="O45" s="58">
        <f t="shared" si="0"/>
        <v>20</v>
      </c>
      <c r="P45" s="58">
        <f t="shared" si="1"/>
        <v>40</v>
      </c>
      <c r="Q45" s="74">
        <v>79.25</v>
      </c>
      <c r="R45" s="101" t="s">
        <v>182</v>
      </c>
      <c r="S45" s="17" t="s">
        <v>100</v>
      </c>
      <c r="T45" s="40" t="s">
        <v>183</v>
      </c>
      <c r="U45" s="40" t="s">
        <v>153</v>
      </c>
      <c r="W45" s="40" t="s">
        <v>184</v>
      </c>
    </row>
    <row r="46" s="3" customFormat="1" ht="89" customHeight="1" spans="1:21">
      <c r="A46" s="39">
        <v>41</v>
      </c>
      <c r="B46" s="40" t="s">
        <v>185</v>
      </c>
      <c r="C46" s="14" t="s">
        <v>186</v>
      </c>
      <c r="D46" s="14" t="s">
        <v>187</v>
      </c>
      <c r="E46" s="14" t="s">
        <v>34</v>
      </c>
      <c r="F46" s="41" t="s">
        <v>188</v>
      </c>
      <c r="G46" s="15">
        <v>45962</v>
      </c>
      <c r="H46" s="43">
        <v>46722</v>
      </c>
      <c r="I46" s="56">
        <v>2370</v>
      </c>
      <c r="J46" s="56">
        <v>800</v>
      </c>
      <c r="K46" s="56">
        <v>1570</v>
      </c>
      <c r="L46" s="57">
        <v>2133</v>
      </c>
      <c r="M46" s="57">
        <v>720</v>
      </c>
      <c r="N46" s="57">
        <v>1413</v>
      </c>
      <c r="O46" s="58">
        <f t="shared" si="0"/>
        <v>80</v>
      </c>
      <c r="P46" s="58">
        <f t="shared" si="1"/>
        <v>157</v>
      </c>
      <c r="Q46" s="74">
        <v>89.5</v>
      </c>
      <c r="R46" s="101" t="s">
        <v>189</v>
      </c>
      <c r="S46" s="24" t="s">
        <v>37</v>
      </c>
      <c r="T46" s="40"/>
      <c r="U46" s="40" t="s">
        <v>190</v>
      </c>
    </row>
    <row r="47" s="3" customFormat="1" ht="89" customHeight="1" spans="1:21">
      <c r="A47" s="39">
        <v>42</v>
      </c>
      <c r="B47" s="40" t="s">
        <v>191</v>
      </c>
      <c r="C47" s="14" t="s">
        <v>186</v>
      </c>
      <c r="D47" s="14" t="s">
        <v>187</v>
      </c>
      <c r="E47" s="14" t="s">
        <v>34</v>
      </c>
      <c r="F47" s="41" t="s">
        <v>192</v>
      </c>
      <c r="G47" s="15">
        <v>45962</v>
      </c>
      <c r="H47" s="43">
        <v>46722</v>
      </c>
      <c r="I47" s="60">
        <v>2400</v>
      </c>
      <c r="J47" s="60">
        <v>800</v>
      </c>
      <c r="K47" s="60">
        <v>1600</v>
      </c>
      <c r="L47" s="57">
        <v>2247</v>
      </c>
      <c r="M47" s="57">
        <v>749</v>
      </c>
      <c r="N47" s="57">
        <v>1498</v>
      </c>
      <c r="O47" s="58">
        <f t="shared" si="0"/>
        <v>51</v>
      </c>
      <c r="P47" s="58">
        <f t="shared" si="1"/>
        <v>102</v>
      </c>
      <c r="Q47" s="74">
        <v>89.5</v>
      </c>
      <c r="R47" s="101" t="s">
        <v>189</v>
      </c>
      <c r="S47" s="24" t="s">
        <v>37</v>
      </c>
      <c r="T47" s="40"/>
      <c r="U47" s="40" t="s">
        <v>193</v>
      </c>
    </row>
    <row r="48" s="3" customFormat="1" ht="89" customHeight="1" spans="1:23">
      <c r="A48" s="39">
        <v>43</v>
      </c>
      <c r="B48" s="40" t="s">
        <v>194</v>
      </c>
      <c r="C48" s="14" t="s">
        <v>186</v>
      </c>
      <c r="D48" s="14" t="s">
        <v>195</v>
      </c>
      <c r="E48" s="14" t="s">
        <v>34</v>
      </c>
      <c r="F48" s="41" t="s">
        <v>196</v>
      </c>
      <c r="G48" s="15">
        <v>45962</v>
      </c>
      <c r="H48" s="43">
        <v>47088</v>
      </c>
      <c r="I48" s="60">
        <v>2700</v>
      </c>
      <c r="J48" s="60">
        <v>1100</v>
      </c>
      <c r="K48" s="60">
        <v>1600</v>
      </c>
      <c r="L48" s="59">
        <f>SUBTOTAL(9,M48:N48)</f>
        <v>2246</v>
      </c>
      <c r="M48" s="59">
        <f>895+20</f>
        <v>915</v>
      </c>
      <c r="N48" s="59">
        <v>1331</v>
      </c>
      <c r="O48" s="58">
        <f t="shared" si="0"/>
        <v>185</v>
      </c>
      <c r="P48" s="58">
        <f t="shared" si="1"/>
        <v>269</v>
      </c>
      <c r="Q48" s="74">
        <v>89.1</v>
      </c>
      <c r="R48" s="101" t="s">
        <v>189</v>
      </c>
      <c r="S48" s="24" t="s">
        <v>37</v>
      </c>
      <c r="T48" s="46"/>
      <c r="U48" s="40" t="s">
        <v>197</v>
      </c>
      <c r="W48" s="44" t="s">
        <v>198</v>
      </c>
    </row>
    <row r="49" s="3" customFormat="1" ht="89" customHeight="1" spans="1:21">
      <c r="A49" s="39">
        <v>44</v>
      </c>
      <c r="B49" s="40" t="s">
        <v>199</v>
      </c>
      <c r="C49" s="14" t="s">
        <v>186</v>
      </c>
      <c r="D49" s="14" t="s">
        <v>195</v>
      </c>
      <c r="E49" s="14" t="s">
        <v>34</v>
      </c>
      <c r="F49" s="41" t="s">
        <v>200</v>
      </c>
      <c r="G49" s="15">
        <v>45962</v>
      </c>
      <c r="H49" s="43">
        <v>46722</v>
      </c>
      <c r="I49" s="60">
        <v>2400</v>
      </c>
      <c r="J49" s="60">
        <v>800</v>
      </c>
      <c r="K49" s="60">
        <v>1600</v>
      </c>
      <c r="L49" s="57">
        <v>2070</v>
      </c>
      <c r="M49" s="57">
        <v>690</v>
      </c>
      <c r="N49" s="57">
        <v>1380</v>
      </c>
      <c r="O49" s="58">
        <f t="shared" si="0"/>
        <v>110</v>
      </c>
      <c r="P49" s="58">
        <f t="shared" si="1"/>
        <v>220</v>
      </c>
      <c r="Q49" s="74">
        <v>88.4</v>
      </c>
      <c r="R49" s="101" t="s">
        <v>189</v>
      </c>
      <c r="S49" s="24" t="s">
        <v>37</v>
      </c>
      <c r="T49" s="40"/>
      <c r="U49" s="40" t="s">
        <v>201</v>
      </c>
    </row>
    <row r="50" s="3" customFormat="1" ht="89" customHeight="1" spans="1:21">
      <c r="A50" s="39">
        <v>45</v>
      </c>
      <c r="B50" s="40" t="s">
        <v>202</v>
      </c>
      <c r="C50" s="14" t="s">
        <v>186</v>
      </c>
      <c r="D50" s="14" t="s">
        <v>203</v>
      </c>
      <c r="E50" s="14" t="s">
        <v>34</v>
      </c>
      <c r="F50" s="41" t="s">
        <v>204</v>
      </c>
      <c r="G50" s="15">
        <v>45962</v>
      </c>
      <c r="H50" s="43">
        <v>46722</v>
      </c>
      <c r="I50" s="56">
        <v>1800</v>
      </c>
      <c r="J50" s="56">
        <v>600</v>
      </c>
      <c r="K50" s="56">
        <v>1200</v>
      </c>
      <c r="L50" s="57">
        <v>1710</v>
      </c>
      <c r="M50" s="57">
        <v>570</v>
      </c>
      <c r="N50" s="57">
        <v>1140</v>
      </c>
      <c r="O50" s="58">
        <f t="shared" si="0"/>
        <v>30</v>
      </c>
      <c r="P50" s="58">
        <f t="shared" si="1"/>
        <v>60</v>
      </c>
      <c r="Q50" s="74">
        <v>88.3</v>
      </c>
      <c r="R50" s="101" t="s">
        <v>189</v>
      </c>
      <c r="S50" s="24" t="s">
        <v>37</v>
      </c>
      <c r="T50" s="40"/>
      <c r="U50" s="40" t="s">
        <v>205</v>
      </c>
    </row>
    <row r="51" s="3" customFormat="1" ht="89" customHeight="1" spans="1:21">
      <c r="A51" s="39">
        <v>46</v>
      </c>
      <c r="B51" s="40" t="s">
        <v>206</v>
      </c>
      <c r="C51" s="14" t="s">
        <v>186</v>
      </c>
      <c r="D51" s="14" t="s">
        <v>195</v>
      </c>
      <c r="E51" s="14" t="s">
        <v>34</v>
      </c>
      <c r="F51" s="41" t="s">
        <v>207</v>
      </c>
      <c r="G51" s="15">
        <v>45962</v>
      </c>
      <c r="H51" s="43">
        <v>46722</v>
      </c>
      <c r="I51" s="56">
        <v>2000</v>
      </c>
      <c r="J51" s="56">
        <v>780</v>
      </c>
      <c r="K51" s="56">
        <v>1220</v>
      </c>
      <c r="L51" s="57">
        <v>1603</v>
      </c>
      <c r="M51" s="57">
        <v>625</v>
      </c>
      <c r="N51" s="57">
        <v>978</v>
      </c>
      <c r="O51" s="58">
        <f t="shared" si="0"/>
        <v>155</v>
      </c>
      <c r="P51" s="58">
        <f t="shared" si="1"/>
        <v>242</v>
      </c>
      <c r="Q51" s="74">
        <v>85.9</v>
      </c>
      <c r="R51" s="101" t="s">
        <v>208</v>
      </c>
      <c r="S51" s="24" t="s">
        <v>37</v>
      </c>
      <c r="T51" s="40"/>
      <c r="U51" s="40" t="s">
        <v>209</v>
      </c>
    </row>
    <row r="52" s="3" customFormat="1" ht="89" customHeight="1" spans="1:21">
      <c r="A52" s="39">
        <v>47</v>
      </c>
      <c r="B52" s="40" t="s">
        <v>210</v>
      </c>
      <c r="C52" s="14" t="s">
        <v>186</v>
      </c>
      <c r="D52" s="14" t="s">
        <v>211</v>
      </c>
      <c r="E52" s="14" t="s">
        <v>34</v>
      </c>
      <c r="F52" s="41" t="s">
        <v>212</v>
      </c>
      <c r="G52" s="15">
        <v>45962</v>
      </c>
      <c r="H52" s="43">
        <v>47088</v>
      </c>
      <c r="I52" s="56">
        <v>2400</v>
      </c>
      <c r="J52" s="56">
        <v>800</v>
      </c>
      <c r="K52" s="56">
        <v>1600</v>
      </c>
      <c r="L52" s="57">
        <v>1890</v>
      </c>
      <c r="M52" s="57">
        <v>630</v>
      </c>
      <c r="N52" s="57">
        <v>1260</v>
      </c>
      <c r="O52" s="58">
        <f t="shared" si="0"/>
        <v>170</v>
      </c>
      <c r="P52" s="58">
        <f t="shared" si="1"/>
        <v>340</v>
      </c>
      <c r="Q52" s="74">
        <v>85.7</v>
      </c>
      <c r="R52" s="101" t="s">
        <v>208</v>
      </c>
      <c r="S52" s="24" t="s">
        <v>37</v>
      </c>
      <c r="T52" s="40"/>
      <c r="U52" s="40" t="s">
        <v>213</v>
      </c>
    </row>
    <row r="53" s="3" customFormat="1" ht="89" customHeight="1" spans="1:21">
      <c r="A53" s="39">
        <v>48</v>
      </c>
      <c r="B53" s="40" t="s">
        <v>214</v>
      </c>
      <c r="C53" s="14" t="s">
        <v>186</v>
      </c>
      <c r="D53" s="14" t="s">
        <v>211</v>
      </c>
      <c r="E53" s="14" t="s">
        <v>34</v>
      </c>
      <c r="F53" s="41" t="s">
        <v>215</v>
      </c>
      <c r="G53" s="15">
        <v>45962</v>
      </c>
      <c r="H53" s="43">
        <v>47088</v>
      </c>
      <c r="I53" s="56">
        <v>1800</v>
      </c>
      <c r="J53" s="56">
        <v>600</v>
      </c>
      <c r="K53" s="56">
        <v>1200</v>
      </c>
      <c r="L53" s="57">
        <v>1533</v>
      </c>
      <c r="M53" s="57">
        <v>511</v>
      </c>
      <c r="N53" s="57">
        <v>1022</v>
      </c>
      <c r="O53" s="58">
        <f t="shared" si="0"/>
        <v>89</v>
      </c>
      <c r="P53" s="58">
        <f t="shared" si="1"/>
        <v>178</v>
      </c>
      <c r="Q53" s="74">
        <v>85.6</v>
      </c>
      <c r="R53" s="101" t="s">
        <v>216</v>
      </c>
      <c r="S53" s="24" t="s">
        <v>37</v>
      </c>
      <c r="T53" s="82"/>
      <c r="U53" s="82" t="s">
        <v>217</v>
      </c>
    </row>
    <row r="54" s="3" customFormat="1" ht="89" customHeight="1" spans="1:21">
      <c r="A54" s="39">
        <v>49</v>
      </c>
      <c r="B54" s="40" t="s">
        <v>218</v>
      </c>
      <c r="C54" s="14" t="s">
        <v>186</v>
      </c>
      <c r="D54" s="14" t="s">
        <v>203</v>
      </c>
      <c r="E54" s="14" t="s">
        <v>34</v>
      </c>
      <c r="F54" s="41" t="s">
        <v>219</v>
      </c>
      <c r="G54" s="15">
        <v>45962</v>
      </c>
      <c r="H54" s="43">
        <v>46722</v>
      </c>
      <c r="I54" s="56">
        <v>2400</v>
      </c>
      <c r="J54" s="56">
        <v>800</v>
      </c>
      <c r="K54" s="56">
        <v>1600</v>
      </c>
      <c r="L54" s="57">
        <v>2310</v>
      </c>
      <c r="M54" s="57">
        <v>770</v>
      </c>
      <c r="N54" s="57">
        <v>1540</v>
      </c>
      <c r="O54" s="58">
        <f t="shared" si="0"/>
        <v>30</v>
      </c>
      <c r="P54" s="58">
        <f t="shared" si="1"/>
        <v>60</v>
      </c>
      <c r="Q54" s="74">
        <v>85.3</v>
      </c>
      <c r="R54" s="101" t="s">
        <v>216</v>
      </c>
      <c r="S54" s="24" t="s">
        <v>37</v>
      </c>
      <c r="T54" s="40"/>
      <c r="U54" s="40" t="s">
        <v>220</v>
      </c>
    </row>
    <row r="55" s="3" customFormat="1" ht="89" customHeight="1" spans="1:21">
      <c r="A55" s="39">
        <v>50</v>
      </c>
      <c r="B55" s="40" t="s">
        <v>221</v>
      </c>
      <c r="C55" s="14" t="s">
        <v>186</v>
      </c>
      <c r="D55" s="14" t="s">
        <v>211</v>
      </c>
      <c r="E55" s="14" t="s">
        <v>34</v>
      </c>
      <c r="F55" s="41" t="s">
        <v>222</v>
      </c>
      <c r="G55" s="15">
        <v>45962</v>
      </c>
      <c r="H55" s="43">
        <v>46722</v>
      </c>
      <c r="I55" s="56">
        <v>2400</v>
      </c>
      <c r="J55" s="56">
        <v>800</v>
      </c>
      <c r="K55" s="56">
        <v>1600</v>
      </c>
      <c r="L55" s="57">
        <v>1860</v>
      </c>
      <c r="M55" s="57">
        <v>620</v>
      </c>
      <c r="N55" s="57">
        <v>1240</v>
      </c>
      <c r="O55" s="58">
        <f t="shared" si="0"/>
        <v>180</v>
      </c>
      <c r="P55" s="58">
        <f t="shared" si="1"/>
        <v>360</v>
      </c>
      <c r="Q55" s="74">
        <v>84.6</v>
      </c>
      <c r="R55" s="101" t="s">
        <v>223</v>
      </c>
      <c r="S55" s="24" t="s">
        <v>37</v>
      </c>
      <c r="T55" s="40"/>
      <c r="U55" s="40" t="s">
        <v>224</v>
      </c>
    </row>
    <row r="56" s="3" customFormat="1" ht="89" customHeight="1" spans="1:21">
      <c r="A56" s="39">
        <v>51</v>
      </c>
      <c r="B56" s="40" t="s">
        <v>225</v>
      </c>
      <c r="C56" s="14" t="s">
        <v>186</v>
      </c>
      <c r="D56" s="14" t="s">
        <v>211</v>
      </c>
      <c r="E56" s="14" t="s">
        <v>34</v>
      </c>
      <c r="F56" s="41" t="s">
        <v>226</v>
      </c>
      <c r="G56" s="15">
        <v>45962</v>
      </c>
      <c r="H56" s="43">
        <v>47088</v>
      </c>
      <c r="I56" s="60">
        <v>2400</v>
      </c>
      <c r="J56" s="60">
        <v>800</v>
      </c>
      <c r="K56" s="60">
        <v>1600</v>
      </c>
      <c r="L56" s="57">
        <v>1860</v>
      </c>
      <c r="M56" s="57">
        <v>620</v>
      </c>
      <c r="N56" s="57">
        <v>1240</v>
      </c>
      <c r="O56" s="58">
        <f t="shared" si="0"/>
        <v>180</v>
      </c>
      <c r="P56" s="58">
        <f t="shared" si="1"/>
        <v>360</v>
      </c>
      <c r="Q56" s="74">
        <v>84.4</v>
      </c>
      <c r="R56" s="101" t="s">
        <v>227</v>
      </c>
      <c r="S56" s="24" t="s">
        <v>37</v>
      </c>
      <c r="T56" s="40"/>
      <c r="U56" s="40" t="s">
        <v>228</v>
      </c>
    </row>
    <row r="57" s="3" customFormat="1" ht="89" customHeight="1" spans="1:21">
      <c r="A57" s="39">
        <v>52</v>
      </c>
      <c r="B57" s="40" t="s">
        <v>229</v>
      </c>
      <c r="C57" s="14" t="s">
        <v>186</v>
      </c>
      <c r="D57" s="14" t="s">
        <v>195</v>
      </c>
      <c r="E57" s="14" t="s">
        <v>34</v>
      </c>
      <c r="F57" s="41" t="s">
        <v>230</v>
      </c>
      <c r="G57" s="15">
        <v>45962</v>
      </c>
      <c r="H57" s="43">
        <v>46722</v>
      </c>
      <c r="I57" s="56">
        <v>2400</v>
      </c>
      <c r="J57" s="56">
        <v>800</v>
      </c>
      <c r="K57" s="56">
        <v>1600</v>
      </c>
      <c r="L57" s="57">
        <v>1860</v>
      </c>
      <c r="M57" s="57">
        <v>620</v>
      </c>
      <c r="N57" s="57">
        <v>1240</v>
      </c>
      <c r="O57" s="58">
        <f t="shared" si="0"/>
        <v>180</v>
      </c>
      <c r="P57" s="58">
        <f t="shared" si="1"/>
        <v>360</v>
      </c>
      <c r="Q57" s="74">
        <v>82.1</v>
      </c>
      <c r="R57" s="101" t="s">
        <v>227</v>
      </c>
      <c r="S57" s="24" t="s">
        <v>37</v>
      </c>
      <c r="T57" s="40" t="s">
        <v>105</v>
      </c>
      <c r="U57" s="40" t="s">
        <v>231</v>
      </c>
    </row>
    <row r="58" s="3" customFormat="1" ht="89" customHeight="1" spans="1:21">
      <c r="A58" s="39">
        <v>53</v>
      </c>
      <c r="B58" s="40" t="s">
        <v>232</v>
      </c>
      <c r="C58" s="14" t="s">
        <v>186</v>
      </c>
      <c r="D58" s="14" t="s">
        <v>203</v>
      </c>
      <c r="E58" s="14" t="s">
        <v>34</v>
      </c>
      <c r="F58" s="41" t="s">
        <v>233</v>
      </c>
      <c r="G58" s="15">
        <v>45962</v>
      </c>
      <c r="H58" s="43">
        <v>47088</v>
      </c>
      <c r="I58" s="56">
        <v>1800</v>
      </c>
      <c r="J58" s="56">
        <v>600</v>
      </c>
      <c r="K58" s="56">
        <v>1200</v>
      </c>
      <c r="L58" s="57">
        <v>1530</v>
      </c>
      <c r="M58" s="57">
        <v>510</v>
      </c>
      <c r="N58" s="57">
        <v>1020</v>
      </c>
      <c r="O58" s="58">
        <f t="shared" si="0"/>
        <v>90</v>
      </c>
      <c r="P58" s="58">
        <f t="shared" si="1"/>
        <v>180</v>
      </c>
      <c r="Q58" s="74">
        <v>81.6</v>
      </c>
      <c r="R58" s="101" t="s">
        <v>208</v>
      </c>
      <c r="S58" s="17" t="s">
        <v>100</v>
      </c>
      <c r="T58" s="40" t="s">
        <v>101</v>
      </c>
      <c r="U58" s="40" t="s">
        <v>234</v>
      </c>
    </row>
    <row r="59" s="3" customFormat="1" ht="89" customHeight="1" spans="1:21">
      <c r="A59" s="39">
        <v>54</v>
      </c>
      <c r="B59" s="40" t="s">
        <v>235</v>
      </c>
      <c r="C59" s="14" t="s">
        <v>186</v>
      </c>
      <c r="D59" s="14" t="s">
        <v>187</v>
      </c>
      <c r="E59" s="14" t="s">
        <v>34</v>
      </c>
      <c r="F59" s="41" t="s">
        <v>236</v>
      </c>
      <c r="G59" s="15">
        <v>45962</v>
      </c>
      <c r="H59" s="43">
        <v>47088</v>
      </c>
      <c r="I59" s="56">
        <v>2400</v>
      </c>
      <c r="J59" s="56">
        <v>800</v>
      </c>
      <c r="K59" s="56">
        <v>1600</v>
      </c>
      <c r="L59" s="57">
        <v>1860</v>
      </c>
      <c r="M59" s="57">
        <v>620</v>
      </c>
      <c r="N59" s="57">
        <v>1240</v>
      </c>
      <c r="O59" s="58">
        <f t="shared" si="0"/>
        <v>180</v>
      </c>
      <c r="P59" s="58">
        <f t="shared" si="1"/>
        <v>360</v>
      </c>
      <c r="Q59" s="74">
        <v>80.9</v>
      </c>
      <c r="R59" s="101" t="s">
        <v>227</v>
      </c>
      <c r="S59" s="17" t="s">
        <v>100</v>
      </c>
      <c r="T59" s="40" t="s">
        <v>101</v>
      </c>
      <c r="U59" s="40" t="s">
        <v>237</v>
      </c>
    </row>
    <row r="60" s="3" customFormat="1" ht="89" customHeight="1" spans="1:21">
      <c r="A60" s="39">
        <v>55</v>
      </c>
      <c r="B60" s="40" t="s">
        <v>238</v>
      </c>
      <c r="C60" s="14" t="s">
        <v>186</v>
      </c>
      <c r="D60" s="14" t="s">
        <v>211</v>
      </c>
      <c r="E60" s="14" t="s">
        <v>34</v>
      </c>
      <c r="F60" s="41" t="s">
        <v>239</v>
      </c>
      <c r="G60" s="15">
        <v>45962</v>
      </c>
      <c r="H60" s="43">
        <v>47088</v>
      </c>
      <c r="I60" s="56">
        <v>2400</v>
      </c>
      <c r="J60" s="56">
        <v>800</v>
      </c>
      <c r="K60" s="56">
        <v>1600</v>
      </c>
      <c r="L60" s="57">
        <v>2070</v>
      </c>
      <c r="M60" s="57">
        <v>690</v>
      </c>
      <c r="N60" s="57">
        <v>1380</v>
      </c>
      <c r="O60" s="58">
        <f t="shared" si="0"/>
        <v>110</v>
      </c>
      <c r="P60" s="58">
        <f t="shared" si="1"/>
        <v>220</v>
      </c>
      <c r="Q60" s="74">
        <v>79.7</v>
      </c>
      <c r="R60" s="101" t="s">
        <v>223</v>
      </c>
      <c r="S60" s="17" t="s">
        <v>100</v>
      </c>
      <c r="T60" s="40" t="s">
        <v>105</v>
      </c>
      <c r="U60" s="40" t="s">
        <v>240</v>
      </c>
    </row>
    <row r="61" s="3" customFormat="1" ht="89" customHeight="1" spans="1:21">
      <c r="A61" s="39">
        <v>56</v>
      </c>
      <c r="B61" s="40" t="s">
        <v>241</v>
      </c>
      <c r="C61" s="14" t="s">
        <v>242</v>
      </c>
      <c r="D61" s="47" t="s">
        <v>243</v>
      </c>
      <c r="E61" s="14" t="s">
        <v>34</v>
      </c>
      <c r="F61" s="41" t="s">
        <v>244</v>
      </c>
      <c r="G61" s="15">
        <v>45962</v>
      </c>
      <c r="H61" s="43">
        <v>46997</v>
      </c>
      <c r="I61" s="56">
        <v>1800</v>
      </c>
      <c r="J61" s="56">
        <v>600</v>
      </c>
      <c r="K61" s="56">
        <v>1200</v>
      </c>
      <c r="L61" s="57">
        <v>1560</v>
      </c>
      <c r="M61" s="57">
        <v>520</v>
      </c>
      <c r="N61" s="57">
        <v>1040</v>
      </c>
      <c r="O61" s="58">
        <f t="shared" si="0"/>
        <v>80</v>
      </c>
      <c r="P61" s="58">
        <f t="shared" si="1"/>
        <v>160</v>
      </c>
      <c r="Q61" s="74">
        <v>90.4</v>
      </c>
      <c r="R61" s="101" t="s">
        <v>189</v>
      </c>
      <c r="S61" s="24" t="s">
        <v>37</v>
      </c>
      <c r="T61" s="40"/>
      <c r="U61" s="40" t="s">
        <v>245</v>
      </c>
    </row>
    <row r="62" s="3" customFormat="1" ht="89" customHeight="1" spans="1:21">
      <c r="A62" s="39">
        <v>57</v>
      </c>
      <c r="B62" s="40" t="s">
        <v>246</v>
      </c>
      <c r="C62" s="14" t="s">
        <v>242</v>
      </c>
      <c r="D62" s="14" t="s">
        <v>247</v>
      </c>
      <c r="E62" s="14" t="s">
        <v>34</v>
      </c>
      <c r="F62" s="41" t="s">
        <v>248</v>
      </c>
      <c r="G62" s="15">
        <v>45962</v>
      </c>
      <c r="H62" s="43">
        <v>46997</v>
      </c>
      <c r="I62" s="56">
        <v>2394</v>
      </c>
      <c r="J62" s="56">
        <v>798</v>
      </c>
      <c r="K62" s="56">
        <v>1596</v>
      </c>
      <c r="L62" s="57">
        <v>2094</v>
      </c>
      <c r="M62" s="57">
        <v>698</v>
      </c>
      <c r="N62" s="57">
        <v>1396</v>
      </c>
      <c r="O62" s="58">
        <f t="shared" si="0"/>
        <v>100</v>
      </c>
      <c r="P62" s="58">
        <f t="shared" si="1"/>
        <v>200</v>
      </c>
      <c r="Q62" s="74">
        <v>86.9</v>
      </c>
      <c r="R62" s="101" t="s">
        <v>216</v>
      </c>
      <c r="S62" s="24" t="s">
        <v>37</v>
      </c>
      <c r="T62" s="40"/>
      <c r="U62" s="40" t="s">
        <v>249</v>
      </c>
    </row>
    <row r="63" s="3" customFormat="1" ht="89" customHeight="1" spans="1:21">
      <c r="A63" s="39">
        <v>58</v>
      </c>
      <c r="B63" s="40" t="s">
        <v>250</v>
      </c>
      <c r="C63" s="14" t="s">
        <v>242</v>
      </c>
      <c r="D63" s="14" t="s">
        <v>251</v>
      </c>
      <c r="E63" s="14" t="s">
        <v>34</v>
      </c>
      <c r="F63" s="41" t="s">
        <v>252</v>
      </c>
      <c r="G63" s="15">
        <v>45962</v>
      </c>
      <c r="H63" s="43">
        <v>46997</v>
      </c>
      <c r="I63" s="60">
        <v>2013</v>
      </c>
      <c r="J63" s="60">
        <v>671</v>
      </c>
      <c r="K63" s="60">
        <v>1342</v>
      </c>
      <c r="L63" s="57">
        <v>1704</v>
      </c>
      <c r="M63" s="57">
        <v>568</v>
      </c>
      <c r="N63" s="57">
        <v>1136</v>
      </c>
      <c r="O63" s="58">
        <f t="shared" si="0"/>
        <v>103</v>
      </c>
      <c r="P63" s="58">
        <f t="shared" si="1"/>
        <v>206</v>
      </c>
      <c r="Q63" s="74">
        <v>86.3</v>
      </c>
      <c r="R63" s="101" t="s">
        <v>208</v>
      </c>
      <c r="S63" s="24" t="s">
        <v>37</v>
      </c>
      <c r="T63" s="40"/>
      <c r="U63" s="40" t="s">
        <v>253</v>
      </c>
    </row>
    <row r="64" s="3" customFormat="1" ht="89" customHeight="1" spans="1:21">
      <c r="A64" s="39">
        <v>59</v>
      </c>
      <c r="B64" s="40" t="s">
        <v>254</v>
      </c>
      <c r="C64" s="14" t="s">
        <v>242</v>
      </c>
      <c r="D64" s="47" t="s">
        <v>247</v>
      </c>
      <c r="E64" s="14" t="s">
        <v>34</v>
      </c>
      <c r="F64" s="41" t="s">
        <v>255</v>
      </c>
      <c r="G64" s="15">
        <v>45962</v>
      </c>
      <c r="H64" s="43">
        <v>46997</v>
      </c>
      <c r="I64" s="56">
        <v>2370</v>
      </c>
      <c r="J64" s="56">
        <v>790</v>
      </c>
      <c r="K64" s="56">
        <v>1580</v>
      </c>
      <c r="L64" s="57">
        <v>1806</v>
      </c>
      <c r="M64" s="57">
        <v>602</v>
      </c>
      <c r="N64" s="57">
        <v>1204</v>
      </c>
      <c r="O64" s="58">
        <f t="shared" si="0"/>
        <v>188</v>
      </c>
      <c r="P64" s="58">
        <f t="shared" si="1"/>
        <v>376</v>
      </c>
      <c r="Q64" s="74">
        <v>85.9</v>
      </c>
      <c r="R64" s="101" t="s">
        <v>208</v>
      </c>
      <c r="S64" s="24" t="s">
        <v>37</v>
      </c>
      <c r="T64" s="40"/>
      <c r="U64" s="40" t="s">
        <v>256</v>
      </c>
    </row>
    <row r="65" s="3" customFormat="1" ht="89" customHeight="1" spans="1:21">
      <c r="A65" s="39">
        <v>60</v>
      </c>
      <c r="B65" s="40" t="s">
        <v>257</v>
      </c>
      <c r="C65" s="14" t="s">
        <v>242</v>
      </c>
      <c r="D65" s="14" t="s">
        <v>258</v>
      </c>
      <c r="E65" s="14" t="s">
        <v>34</v>
      </c>
      <c r="F65" s="41" t="s">
        <v>259</v>
      </c>
      <c r="G65" s="15">
        <v>45962</v>
      </c>
      <c r="H65" s="43">
        <v>46997</v>
      </c>
      <c r="I65" s="56">
        <v>2370</v>
      </c>
      <c r="J65" s="56">
        <v>790</v>
      </c>
      <c r="K65" s="56">
        <v>1580</v>
      </c>
      <c r="L65" s="57">
        <v>1995</v>
      </c>
      <c r="M65" s="57">
        <v>665</v>
      </c>
      <c r="N65" s="57">
        <v>1330</v>
      </c>
      <c r="O65" s="58">
        <f t="shared" si="0"/>
        <v>125</v>
      </c>
      <c r="P65" s="58">
        <f t="shared" si="1"/>
        <v>250</v>
      </c>
      <c r="Q65" s="74">
        <v>85.2</v>
      </c>
      <c r="R65" s="101" t="s">
        <v>216</v>
      </c>
      <c r="S65" s="24" t="s">
        <v>37</v>
      </c>
      <c r="T65" s="40"/>
      <c r="U65" s="40" t="s">
        <v>260</v>
      </c>
    </row>
    <row r="66" s="3" customFormat="1" ht="89" customHeight="1" spans="1:23">
      <c r="A66" s="39">
        <v>61</v>
      </c>
      <c r="B66" s="44" t="s">
        <v>261</v>
      </c>
      <c r="C66" s="83" t="s">
        <v>242</v>
      </c>
      <c r="D66" s="83" t="s">
        <v>243</v>
      </c>
      <c r="E66" s="14" t="s">
        <v>34</v>
      </c>
      <c r="F66" s="41" t="s">
        <v>262</v>
      </c>
      <c r="G66" s="15">
        <v>45962</v>
      </c>
      <c r="H66" s="43">
        <v>46631</v>
      </c>
      <c r="I66" s="56">
        <v>2600</v>
      </c>
      <c r="J66" s="56">
        <v>1000</v>
      </c>
      <c r="K66" s="56">
        <v>1600</v>
      </c>
      <c r="L66" s="57">
        <v>2075</v>
      </c>
      <c r="M66" s="57">
        <v>798</v>
      </c>
      <c r="N66" s="57">
        <v>1277</v>
      </c>
      <c r="O66" s="58">
        <f t="shared" si="0"/>
        <v>202</v>
      </c>
      <c r="P66" s="58">
        <f t="shared" si="1"/>
        <v>323</v>
      </c>
      <c r="Q66" s="74">
        <v>84.3</v>
      </c>
      <c r="R66" s="101" t="s">
        <v>223</v>
      </c>
      <c r="S66" s="24" t="s">
        <v>37</v>
      </c>
      <c r="T66" s="46" t="s">
        <v>96</v>
      </c>
      <c r="U66" s="40" t="s">
        <v>263</v>
      </c>
      <c r="W66" s="40" t="s">
        <v>264</v>
      </c>
    </row>
    <row r="67" s="3" customFormat="1" ht="89" customHeight="1" spans="1:21">
      <c r="A67" s="39">
        <v>62</v>
      </c>
      <c r="B67" s="44" t="s">
        <v>265</v>
      </c>
      <c r="C67" s="83" t="s">
        <v>242</v>
      </c>
      <c r="D67" s="84" t="s">
        <v>251</v>
      </c>
      <c r="E67" s="14" t="s">
        <v>34</v>
      </c>
      <c r="F67" s="41" t="s">
        <v>266</v>
      </c>
      <c r="G67" s="15">
        <v>45962</v>
      </c>
      <c r="H67" s="43">
        <v>46631</v>
      </c>
      <c r="I67" s="56">
        <v>1950</v>
      </c>
      <c r="J67" s="56">
        <v>650</v>
      </c>
      <c r="K67" s="56">
        <v>1300</v>
      </c>
      <c r="L67" s="57">
        <v>1671</v>
      </c>
      <c r="M67" s="57">
        <v>557</v>
      </c>
      <c r="N67" s="57">
        <v>1114</v>
      </c>
      <c r="O67" s="58">
        <f t="shared" si="0"/>
        <v>93</v>
      </c>
      <c r="P67" s="58">
        <f t="shared" si="1"/>
        <v>186</v>
      </c>
      <c r="Q67" s="74">
        <v>83.6</v>
      </c>
      <c r="R67" s="101" t="s">
        <v>208</v>
      </c>
      <c r="S67" s="24" t="s">
        <v>37</v>
      </c>
      <c r="T67" s="40"/>
      <c r="U67" s="40" t="s">
        <v>267</v>
      </c>
    </row>
    <row r="68" s="3" customFormat="1" ht="89" customHeight="1" spans="1:21">
      <c r="A68" s="39">
        <v>63</v>
      </c>
      <c r="B68" s="44" t="s">
        <v>268</v>
      </c>
      <c r="C68" s="83" t="s">
        <v>242</v>
      </c>
      <c r="D68" s="84" t="s">
        <v>247</v>
      </c>
      <c r="E68" s="14" t="s">
        <v>34</v>
      </c>
      <c r="F68" s="41" t="s">
        <v>269</v>
      </c>
      <c r="G68" s="15">
        <v>45962</v>
      </c>
      <c r="H68" s="43">
        <v>46631</v>
      </c>
      <c r="I68" s="56">
        <v>2340</v>
      </c>
      <c r="J68" s="56">
        <v>780</v>
      </c>
      <c r="K68" s="56">
        <v>1560</v>
      </c>
      <c r="L68" s="57">
        <v>2004</v>
      </c>
      <c r="M68" s="57">
        <v>668</v>
      </c>
      <c r="N68" s="57">
        <v>1336</v>
      </c>
      <c r="O68" s="58">
        <f t="shared" si="0"/>
        <v>112</v>
      </c>
      <c r="P68" s="58">
        <f t="shared" si="1"/>
        <v>224</v>
      </c>
      <c r="Q68" s="74">
        <v>83.6</v>
      </c>
      <c r="R68" s="101" t="s">
        <v>223</v>
      </c>
      <c r="S68" s="24" t="s">
        <v>37</v>
      </c>
      <c r="T68" s="82"/>
      <c r="U68" s="40" t="s">
        <v>270</v>
      </c>
    </row>
    <row r="69" s="3" customFormat="1" ht="89" customHeight="1" spans="1:21">
      <c r="A69" s="39">
        <v>64</v>
      </c>
      <c r="B69" s="40" t="s">
        <v>271</v>
      </c>
      <c r="C69" s="14" t="s">
        <v>242</v>
      </c>
      <c r="D69" s="47" t="s">
        <v>243</v>
      </c>
      <c r="E69" s="14" t="s">
        <v>34</v>
      </c>
      <c r="F69" s="41" t="s">
        <v>272</v>
      </c>
      <c r="G69" s="15">
        <v>45962</v>
      </c>
      <c r="H69" s="43">
        <v>46997</v>
      </c>
      <c r="I69" s="56">
        <v>2400</v>
      </c>
      <c r="J69" s="56">
        <v>800</v>
      </c>
      <c r="K69" s="56">
        <v>1600</v>
      </c>
      <c r="L69" s="57">
        <v>2058</v>
      </c>
      <c r="M69" s="57">
        <v>686</v>
      </c>
      <c r="N69" s="57">
        <v>1372</v>
      </c>
      <c r="O69" s="58">
        <f t="shared" si="0"/>
        <v>114</v>
      </c>
      <c r="P69" s="58">
        <f t="shared" si="1"/>
        <v>228</v>
      </c>
      <c r="Q69" s="74">
        <v>88.7</v>
      </c>
      <c r="R69" s="101" t="s">
        <v>216</v>
      </c>
      <c r="S69" s="91" t="s">
        <v>100</v>
      </c>
      <c r="T69" s="46" t="s">
        <v>273</v>
      </c>
      <c r="U69" s="40" t="s">
        <v>274</v>
      </c>
    </row>
    <row r="70" s="3" customFormat="1" ht="89" customHeight="1" spans="1:21">
      <c r="A70" s="39">
        <v>65</v>
      </c>
      <c r="B70" s="40" t="s">
        <v>275</v>
      </c>
      <c r="C70" s="14" t="s">
        <v>242</v>
      </c>
      <c r="D70" s="47" t="s">
        <v>258</v>
      </c>
      <c r="E70" s="14" t="s">
        <v>34</v>
      </c>
      <c r="F70" s="41" t="s">
        <v>276</v>
      </c>
      <c r="G70" s="15">
        <v>45962</v>
      </c>
      <c r="H70" s="43">
        <v>46997</v>
      </c>
      <c r="I70" s="56">
        <v>2385</v>
      </c>
      <c r="J70" s="56">
        <v>795</v>
      </c>
      <c r="K70" s="56">
        <v>1590</v>
      </c>
      <c r="L70" s="57">
        <v>2061</v>
      </c>
      <c r="M70" s="57">
        <v>687</v>
      </c>
      <c r="N70" s="57">
        <v>1374</v>
      </c>
      <c r="O70" s="58">
        <f t="shared" ref="O70:O133" si="2">J70-M70</f>
        <v>108</v>
      </c>
      <c r="P70" s="58">
        <f t="shared" ref="P70:P133" si="3">K70-N70</f>
        <v>216</v>
      </c>
      <c r="Q70" s="74">
        <v>87.5</v>
      </c>
      <c r="R70" s="101" t="s">
        <v>216</v>
      </c>
      <c r="S70" s="91" t="s">
        <v>100</v>
      </c>
      <c r="T70" s="46" t="s">
        <v>277</v>
      </c>
      <c r="U70" s="82" t="s">
        <v>278</v>
      </c>
    </row>
    <row r="71" s="3" customFormat="1" ht="89" customHeight="1" spans="1:21">
      <c r="A71" s="39">
        <v>66</v>
      </c>
      <c r="B71" s="40" t="s">
        <v>279</v>
      </c>
      <c r="C71" s="83" t="s">
        <v>242</v>
      </c>
      <c r="D71" s="84" t="s">
        <v>258</v>
      </c>
      <c r="E71" s="14" t="s">
        <v>34</v>
      </c>
      <c r="F71" s="41" t="s">
        <v>280</v>
      </c>
      <c r="G71" s="15">
        <v>45962</v>
      </c>
      <c r="H71" s="43">
        <v>46997</v>
      </c>
      <c r="I71" s="56">
        <v>2340</v>
      </c>
      <c r="J71" s="56">
        <v>780</v>
      </c>
      <c r="K71" s="56">
        <v>1560</v>
      </c>
      <c r="L71" s="57">
        <v>2148</v>
      </c>
      <c r="M71" s="57">
        <v>716</v>
      </c>
      <c r="N71" s="57">
        <v>1432</v>
      </c>
      <c r="O71" s="58">
        <f t="shared" si="2"/>
        <v>64</v>
      </c>
      <c r="P71" s="58">
        <f t="shared" si="3"/>
        <v>128</v>
      </c>
      <c r="Q71" s="74">
        <v>83.2</v>
      </c>
      <c r="R71" s="101" t="s">
        <v>208</v>
      </c>
      <c r="S71" s="17" t="s">
        <v>100</v>
      </c>
      <c r="T71" s="92" t="s">
        <v>101</v>
      </c>
      <c r="U71" s="40" t="s">
        <v>281</v>
      </c>
    </row>
    <row r="72" s="3" customFormat="1" ht="89" customHeight="1" spans="1:21">
      <c r="A72" s="39">
        <v>67</v>
      </c>
      <c r="B72" s="40" t="s">
        <v>282</v>
      </c>
      <c r="C72" s="83" t="s">
        <v>242</v>
      </c>
      <c r="D72" s="83" t="s">
        <v>247</v>
      </c>
      <c r="E72" s="14" t="s">
        <v>34</v>
      </c>
      <c r="F72" s="41" t="s">
        <v>283</v>
      </c>
      <c r="G72" s="15">
        <v>45962</v>
      </c>
      <c r="H72" s="43">
        <v>46997</v>
      </c>
      <c r="I72" s="56">
        <v>2400</v>
      </c>
      <c r="J72" s="56">
        <v>800</v>
      </c>
      <c r="K72" s="56">
        <v>1600</v>
      </c>
      <c r="L72" s="57">
        <v>2115</v>
      </c>
      <c r="M72" s="57">
        <v>705</v>
      </c>
      <c r="N72" s="57">
        <v>1410</v>
      </c>
      <c r="O72" s="58">
        <f t="shared" si="2"/>
        <v>95</v>
      </c>
      <c r="P72" s="58">
        <f t="shared" si="3"/>
        <v>190</v>
      </c>
      <c r="Q72" s="74">
        <v>82.3</v>
      </c>
      <c r="R72" s="101" t="s">
        <v>216</v>
      </c>
      <c r="S72" s="17" t="s">
        <v>100</v>
      </c>
      <c r="T72" s="40" t="s">
        <v>101</v>
      </c>
      <c r="U72" s="40" t="s">
        <v>284</v>
      </c>
    </row>
    <row r="73" s="3" customFormat="1" ht="89" customHeight="1" spans="1:21">
      <c r="A73" s="39">
        <v>68</v>
      </c>
      <c r="B73" s="40" t="s">
        <v>285</v>
      </c>
      <c r="C73" s="83" t="s">
        <v>242</v>
      </c>
      <c r="D73" s="84" t="s">
        <v>243</v>
      </c>
      <c r="E73" s="14" t="s">
        <v>34</v>
      </c>
      <c r="F73" s="41" t="s">
        <v>286</v>
      </c>
      <c r="G73" s="15">
        <v>45962</v>
      </c>
      <c r="H73" s="43">
        <v>46997</v>
      </c>
      <c r="I73" s="56">
        <v>2400</v>
      </c>
      <c r="J73" s="56">
        <v>800</v>
      </c>
      <c r="K73" s="56">
        <v>1600</v>
      </c>
      <c r="L73" s="57">
        <v>1974</v>
      </c>
      <c r="M73" s="57">
        <v>658</v>
      </c>
      <c r="N73" s="57">
        <v>1316</v>
      </c>
      <c r="O73" s="58">
        <f t="shared" si="2"/>
        <v>142</v>
      </c>
      <c r="P73" s="58">
        <f t="shared" si="3"/>
        <v>284</v>
      </c>
      <c r="Q73" s="74">
        <v>81.6</v>
      </c>
      <c r="R73" s="101" t="s">
        <v>208</v>
      </c>
      <c r="S73" s="17" t="s">
        <v>100</v>
      </c>
      <c r="T73" s="82" t="s">
        <v>101</v>
      </c>
      <c r="U73" s="82" t="s">
        <v>263</v>
      </c>
    </row>
    <row r="74" s="3" customFormat="1" ht="89" customHeight="1" spans="1:21">
      <c r="A74" s="39">
        <v>69</v>
      </c>
      <c r="B74" s="44" t="s">
        <v>287</v>
      </c>
      <c r="C74" s="83" t="s">
        <v>242</v>
      </c>
      <c r="D74" s="84" t="s">
        <v>258</v>
      </c>
      <c r="E74" s="14" t="s">
        <v>34</v>
      </c>
      <c r="F74" s="41" t="s">
        <v>288</v>
      </c>
      <c r="G74" s="15">
        <v>45962</v>
      </c>
      <c r="H74" s="43">
        <v>46631</v>
      </c>
      <c r="I74" s="60">
        <v>1620</v>
      </c>
      <c r="J74" s="60">
        <v>540</v>
      </c>
      <c r="K74" s="60">
        <v>1080</v>
      </c>
      <c r="L74" s="57">
        <v>1527</v>
      </c>
      <c r="M74" s="57">
        <v>509</v>
      </c>
      <c r="N74" s="57">
        <v>1018</v>
      </c>
      <c r="O74" s="58">
        <f t="shared" si="2"/>
        <v>31</v>
      </c>
      <c r="P74" s="58">
        <f t="shared" si="3"/>
        <v>62</v>
      </c>
      <c r="Q74" s="74">
        <v>82.3</v>
      </c>
      <c r="R74" s="101" t="s">
        <v>289</v>
      </c>
      <c r="S74" s="17" t="s">
        <v>100</v>
      </c>
      <c r="T74" s="40" t="s">
        <v>105</v>
      </c>
      <c r="U74" s="40" t="s">
        <v>290</v>
      </c>
    </row>
    <row r="75" s="3" customFormat="1" ht="89" customHeight="1" spans="1:21">
      <c r="A75" s="39">
        <v>70</v>
      </c>
      <c r="B75" s="40" t="s">
        <v>291</v>
      </c>
      <c r="C75" s="83" t="s">
        <v>242</v>
      </c>
      <c r="D75" s="84" t="s">
        <v>247</v>
      </c>
      <c r="E75" s="14" t="s">
        <v>34</v>
      </c>
      <c r="F75" s="41" t="s">
        <v>292</v>
      </c>
      <c r="G75" s="15">
        <v>45962</v>
      </c>
      <c r="H75" s="43">
        <v>46631</v>
      </c>
      <c r="I75" s="56">
        <v>1805</v>
      </c>
      <c r="J75" s="56">
        <v>600</v>
      </c>
      <c r="K75" s="56">
        <v>1205</v>
      </c>
      <c r="L75" s="57">
        <v>1384</v>
      </c>
      <c r="M75" s="57">
        <v>460</v>
      </c>
      <c r="N75" s="57">
        <v>924</v>
      </c>
      <c r="O75" s="58">
        <f t="shared" si="2"/>
        <v>140</v>
      </c>
      <c r="P75" s="58">
        <f t="shared" si="3"/>
        <v>281</v>
      </c>
      <c r="Q75" s="74">
        <v>79.92</v>
      </c>
      <c r="R75" s="101" t="s">
        <v>289</v>
      </c>
      <c r="S75" s="17" t="s">
        <v>100</v>
      </c>
      <c r="T75" s="40" t="s">
        <v>105</v>
      </c>
      <c r="U75" s="40" t="s">
        <v>293</v>
      </c>
    </row>
    <row r="76" s="3" customFormat="1" ht="89" customHeight="1" spans="1:21">
      <c r="A76" s="39">
        <v>71</v>
      </c>
      <c r="B76" s="40" t="s">
        <v>294</v>
      </c>
      <c r="C76" s="83" t="s">
        <v>242</v>
      </c>
      <c r="D76" s="84" t="s">
        <v>258</v>
      </c>
      <c r="E76" s="14" t="s">
        <v>34</v>
      </c>
      <c r="F76" s="41" t="s">
        <v>295</v>
      </c>
      <c r="G76" s="15">
        <v>45962</v>
      </c>
      <c r="H76" s="43">
        <v>46997</v>
      </c>
      <c r="I76" s="56">
        <v>1599</v>
      </c>
      <c r="J76" s="56">
        <v>533</v>
      </c>
      <c r="K76" s="56">
        <v>1066</v>
      </c>
      <c r="L76" s="57">
        <v>1485</v>
      </c>
      <c r="M76" s="57">
        <v>495</v>
      </c>
      <c r="N76" s="57">
        <v>990</v>
      </c>
      <c r="O76" s="58">
        <f t="shared" si="2"/>
        <v>38</v>
      </c>
      <c r="P76" s="58">
        <f t="shared" si="3"/>
        <v>76</v>
      </c>
      <c r="Q76" s="74">
        <v>75.5</v>
      </c>
      <c r="R76" s="101" t="s">
        <v>289</v>
      </c>
      <c r="S76" s="17" t="s">
        <v>100</v>
      </c>
      <c r="T76" s="40" t="s">
        <v>105</v>
      </c>
      <c r="U76" s="40" t="s">
        <v>296</v>
      </c>
    </row>
    <row r="77" s="3" customFormat="1" ht="89" customHeight="1" spans="1:21">
      <c r="A77" s="39">
        <v>72</v>
      </c>
      <c r="B77" s="44" t="s">
        <v>297</v>
      </c>
      <c r="C77" s="83" t="s">
        <v>298</v>
      </c>
      <c r="D77" s="83" t="s">
        <v>299</v>
      </c>
      <c r="E77" s="14" t="s">
        <v>34</v>
      </c>
      <c r="F77" s="41" t="s">
        <v>300</v>
      </c>
      <c r="G77" s="15">
        <v>45962</v>
      </c>
      <c r="H77" s="43">
        <v>47058</v>
      </c>
      <c r="I77" s="56">
        <v>2400</v>
      </c>
      <c r="J77" s="56">
        <v>800</v>
      </c>
      <c r="K77" s="56">
        <v>1600</v>
      </c>
      <c r="L77" s="57">
        <v>2310</v>
      </c>
      <c r="M77" s="57">
        <v>770</v>
      </c>
      <c r="N77" s="57">
        <v>1540</v>
      </c>
      <c r="O77" s="58">
        <f t="shared" si="2"/>
        <v>30</v>
      </c>
      <c r="P77" s="58">
        <f t="shared" si="3"/>
        <v>60</v>
      </c>
      <c r="Q77" s="74">
        <v>89.8</v>
      </c>
      <c r="R77" s="101" t="s">
        <v>189</v>
      </c>
      <c r="S77" s="24" t="s">
        <v>37</v>
      </c>
      <c r="T77" s="40"/>
      <c r="U77" s="40" t="s">
        <v>301</v>
      </c>
    </row>
    <row r="78" s="3" customFormat="1" ht="89" customHeight="1" spans="1:21">
      <c r="A78" s="39">
        <v>74</v>
      </c>
      <c r="B78" s="44" t="s">
        <v>302</v>
      </c>
      <c r="C78" s="83" t="s">
        <v>298</v>
      </c>
      <c r="D78" s="83" t="s">
        <v>303</v>
      </c>
      <c r="E78" s="47" t="s">
        <v>304</v>
      </c>
      <c r="F78" s="41" t="s">
        <v>305</v>
      </c>
      <c r="G78" s="15">
        <v>45962</v>
      </c>
      <c r="H78" s="43">
        <v>47423</v>
      </c>
      <c r="I78" s="62">
        <v>2367</v>
      </c>
      <c r="J78" s="62">
        <v>789</v>
      </c>
      <c r="K78" s="62">
        <v>1578</v>
      </c>
      <c r="L78" s="57">
        <v>2288</v>
      </c>
      <c r="M78" s="57">
        <v>762</v>
      </c>
      <c r="N78" s="57">
        <v>1526</v>
      </c>
      <c r="O78" s="58">
        <f t="shared" si="2"/>
        <v>27</v>
      </c>
      <c r="P78" s="58">
        <f t="shared" si="3"/>
        <v>52</v>
      </c>
      <c r="Q78" s="74">
        <v>89.2</v>
      </c>
      <c r="R78" s="101" t="s">
        <v>216</v>
      </c>
      <c r="S78" s="24" t="s">
        <v>37</v>
      </c>
      <c r="T78" s="40"/>
      <c r="U78" s="40" t="s">
        <v>306</v>
      </c>
    </row>
    <row r="79" s="3" customFormat="1" ht="89" customHeight="1" spans="1:21">
      <c r="A79" s="39">
        <v>75</v>
      </c>
      <c r="B79" s="40" t="s">
        <v>307</v>
      </c>
      <c r="C79" s="83" t="s">
        <v>298</v>
      </c>
      <c r="D79" s="83" t="s">
        <v>308</v>
      </c>
      <c r="E79" s="14" t="s">
        <v>34</v>
      </c>
      <c r="F79" s="41" t="s">
        <v>309</v>
      </c>
      <c r="G79" s="15">
        <v>45962</v>
      </c>
      <c r="H79" s="43">
        <v>47058</v>
      </c>
      <c r="I79" s="56">
        <v>2400</v>
      </c>
      <c r="J79" s="56">
        <v>800</v>
      </c>
      <c r="K79" s="56">
        <v>1600</v>
      </c>
      <c r="L79" s="57">
        <v>2343</v>
      </c>
      <c r="M79" s="57">
        <v>781</v>
      </c>
      <c r="N79" s="57">
        <v>1562</v>
      </c>
      <c r="O79" s="58">
        <f t="shared" si="2"/>
        <v>19</v>
      </c>
      <c r="P79" s="58">
        <f t="shared" si="3"/>
        <v>38</v>
      </c>
      <c r="Q79" s="74">
        <v>88.9</v>
      </c>
      <c r="R79" s="101" t="s">
        <v>189</v>
      </c>
      <c r="S79" s="24" t="s">
        <v>37</v>
      </c>
      <c r="T79" s="40"/>
      <c r="U79" s="40" t="s">
        <v>310</v>
      </c>
    </row>
    <row r="80" s="3" customFormat="1" ht="89" customHeight="1" spans="1:21">
      <c r="A80" s="39">
        <v>76</v>
      </c>
      <c r="B80" s="40" t="s">
        <v>311</v>
      </c>
      <c r="C80" s="83" t="s">
        <v>298</v>
      </c>
      <c r="D80" s="83" t="s">
        <v>303</v>
      </c>
      <c r="E80" s="14" t="s">
        <v>34</v>
      </c>
      <c r="F80" s="41" t="s">
        <v>312</v>
      </c>
      <c r="G80" s="15">
        <v>45962</v>
      </c>
      <c r="H80" s="43">
        <v>47058</v>
      </c>
      <c r="I80" s="62">
        <v>2400</v>
      </c>
      <c r="J80" s="62">
        <v>800</v>
      </c>
      <c r="K80" s="62">
        <v>1600</v>
      </c>
      <c r="L80" s="57">
        <v>2337</v>
      </c>
      <c r="M80" s="57">
        <v>779</v>
      </c>
      <c r="N80" s="57">
        <v>1558</v>
      </c>
      <c r="O80" s="58">
        <f t="shared" si="2"/>
        <v>21</v>
      </c>
      <c r="P80" s="58">
        <f t="shared" si="3"/>
        <v>42</v>
      </c>
      <c r="Q80" s="74">
        <v>88.7</v>
      </c>
      <c r="R80" s="101" t="s">
        <v>189</v>
      </c>
      <c r="S80" s="24" t="s">
        <v>37</v>
      </c>
      <c r="T80" s="40"/>
      <c r="U80" s="40" t="s">
        <v>313</v>
      </c>
    </row>
    <row r="81" s="3" customFormat="1" ht="89" customHeight="1" spans="1:21">
      <c r="A81" s="39">
        <v>77</v>
      </c>
      <c r="B81" s="44" t="s">
        <v>314</v>
      </c>
      <c r="C81" s="83" t="s">
        <v>298</v>
      </c>
      <c r="D81" s="83" t="s">
        <v>308</v>
      </c>
      <c r="E81" s="14" t="s">
        <v>34</v>
      </c>
      <c r="F81" s="41" t="s">
        <v>315</v>
      </c>
      <c r="G81" s="15">
        <v>45962</v>
      </c>
      <c r="H81" s="43">
        <v>47058</v>
      </c>
      <c r="I81" s="56">
        <v>2400</v>
      </c>
      <c r="J81" s="56">
        <v>800</v>
      </c>
      <c r="K81" s="56">
        <v>1600</v>
      </c>
      <c r="L81" s="57">
        <v>2322</v>
      </c>
      <c r="M81" s="57">
        <v>774</v>
      </c>
      <c r="N81" s="57">
        <v>1548</v>
      </c>
      <c r="O81" s="58">
        <f t="shared" si="2"/>
        <v>26</v>
      </c>
      <c r="P81" s="58">
        <f t="shared" si="3"/>
        <v>52</v>
      </c>
      <c r="Q81" s="74">
        <v>87.8</v>
      </c>
      <c r="R81" s="101" t="s">
        <v>189</v>
      </c>
      <c r="S81" s="24" t="s">
        <v>37</v>
      </c>
      <c r="T81" s="40"/>
      <c r="U81" s="40" t="s">
        <v>316</v>
      </c>
    </row>
    <row r="82" s="3" customFormat="1" ht="89" customHeight="1" spans="1:21">
      <c r="A82" s="39">
        <v>78</v>
      </c>
      <c r="B82" s="40" t="s">
        <v>317</v>
      </c>
      <c r="C82" s="83" t="s">
        <v>298</v>
      </c>
      <c r="D82" s="83" t="s">
        <v>308</v>
      </c>
      <c r="E82" s="47" t="s">
        <v>304</v>
      </c>
      <c r="F82" s="41" t="s">
        <v>318</v>
      </c>
      <c r="G82" s="15">
        <v>45962</v>
      </c>
      <c r="H82" s="43">
        <v>46692</v>
      </c>
      <c r="I82" s="56">
        <v>4500</v>
      </c>
      <c r="J82" s="56">
        <v>1800</v>
      </c>
      <c r="K82" s="56">
        <v>2700</v>
      </c>
      <c r="L82" s="57">
        <v>4325</v>
      </c>
      <c r="M82" s="57">
        <v>1730</v>
      </c>
      <c r="N82" s="57">
        <v>2595</v>
      </c>
      <c r="O82" s="58">
        <f t="shared" si="2"/>
        <v>70</v>
      </c>
      <c r="P82" s="58">
        <f t="shared" si="3"/>
        <v>105</v>
      </c>
      <c r="Q82" s="74">
        <v>87.6</v>
      </c>
      <c r="R82" s="101" t="s">
        <v>189</v>
      </c>
      <c r="S82" s="24" t="s">
        <v>37</v>
      </c>
      <c r="T82" s="40"/>
      <c r="U82" s="40" t="s">
        <v>319</v>
      </c>
    </row>
    <row r="83" s="3" customFormat="1" ht="89" customHeight="1" spans="1:21">
      <c r="A83" s="39">
        <v>79</v>
      </c>
      <c r="B83" s="40" t="s">
        <v>320</v>
      </c>
      <c r="C83" s="83" t="s">
        <v>298</v>
      </c>
      <c r="D83" s="83" t="s">
        <v>308</v>
      </c>
      <c r="E83" s="14" t="s">
        <v>34</v>
      </c>
      <c r="F83" s="41" t="s">
        <v>321</v>
      </c>
      <c r="G83" s="15">
        <v>45962</v>
      </c>
      <c r="H83" s="43">
        <v>47058</v>
      </c>
      <c r="I83" s="56">
        <v>2400</v>
      </c>
      <c r="J83" s="56">
        <v>800</v>
      </c>
      <c r="K83" s="56">
        <v>1600</v>
      </c>
      <c r="L83" s="57">
        <v>2300</v>
      </c>
      <c r="M83" s="57">
        <v>770</v>
      </c>
      <c r="N83" s="57">
        <v>1530</v>
      </c>
      <c r="O83" s="58">
        <f t="shared" si="2"/>
        <v>30</v>
      </c>
      <c r="P83" s="58">
        <f t="shared" si="3"/>
        <v>70</v>
      </c>
      <c r="Q83" s="74">
        <v>87.1</v>
      </c>
      <c r="R83" s="101" t="s">
        <v>189</v>
      </c>
      <c r="S83" s="24" t="s">
        <v>37</v>
      </c>
      <c r="T83" s="40"/>
      <c r="U83" s="40" t="s">
        <v>322</v>
      </c>
    </row>
    <row r="84" s="3" customFormat="1" ht="89" customHeight="1" spans="1:21">
      <c r="A84" s="39">
        <v>80</v>
      </c>
      <c r="B84" s="44" t="s">
        <v>323</v>
      </c>
      <c r="C84" s="83" t="s">
        <v>298</v>
      </c>
      <c r="D84" s="83" t="s">
        <v>299</v>
      </c>
      <c r="E84" s="14" t="s">
        <v>34</v>
      </c>
      <c r="F84" s="41" t="s">
        <v>324</v>
      </c>
      <c r="G84" s="15">
        <v>45962</v>
      </c>
      <c r="H84" s="43">
        <v>47058</v>
      </c>
      <c r="I84" s="56">
        <v>2400</v>
      </c>
      <c r="J84" s="56">
        <v>800</v>
      </c>
      <c r="K84" s="56">
        <v>1600</v>
      </c>
      <c r="L84" s="57">
        <v>2130</v>
      </c>
      <c r="M84" s="57">
        <v>710</v>
      </c>
      <c r="N84" s="57">
        <v>1420</v>
      </c>
      <c r="O84" s="58">
        <f t="shared" si="2"/>
        <v>90</v>
      </c>
      <c r="P84" s="58">
        <f t="shared" si="3"/>
        <v>180</v>
      </c>
      <c r="Q84" s="74">
        <v>86.8</v>
      </c>
      <c r="R84" s="101" t="s">
        <v>189</v>
      </c>
      <c r="S84" s="24" t="s">
        <v>37</v>
      </c>
      <c r="T84" s="40"/>
      <c r="U84" s="40" t="s">
        <v>325</v>
      </c>
    </row>
    <row r="85" s="3" customFormat="1" ht="89" customHeight="1" spans="1:21">
      <c r="A85" s="39">
        <v>81</v>
      </c>
      <c r="B85" s="44" t="s">
        <v>326</v>
      </c>
      <c r="C85" s="83" t="s">
        <v>298</v>
      </c>
      <c r="D85" s="83" t="s">
        <v>299</v>
      </c>
      <c r="E85" s="14" t="s">
        <v>34</v>
      </c>
      <c r="F85" s="41" t="s">
        <v>327</v>
      </c>
      <c r="G85" s="15">
        <v>45962</v>
      </c>
      <c r="H85" s="43">
        <v>47058</v>
      </c>
      <c r="I85" s="62">
        <v>2340</v>
      </c>
      <c r="J85" s="62">
        <v>780</v>
      </c>
      <c r="K85" s="62">
        <v>1560</v>
      </c>
      <c r="L85" s="57">
        <v>2256</v>
      </c>
      <c r="M85" s="57">
        <v>752</v>
      </c>
      <c r="N85" s="57">
        <v>1504</v>
      </c>
      <c r="O85" s="58">
        <f t="shared" si="2"/>
        <v>28</v>
      </c>
      <c r="P85" s="58">
        <f t="shared" si="3"/>
        <v>56</v>
      </c>
      <c r="Q85" s="74">
        <v>86.3</v>
      </c>
      <c r="R85" s="101" t="s">
        <v>216</v>
      </c>
      <c r="S85" s="24" t="s">
        <v>37</v>
      </c>
      <c r="T85" s="40"/>
      <c r="U85" s="40" t="s">
        <v>328</v>
      </c>
    </row>
    <row r="86" s="3" customFormat="1" ht="89" customHeight="1" spans="1:21">
      <c r="A86" s="39">
        <v>82</v>
      </c>
      <c r="B86" s="40" t="s">
        <v>329</v>
      </c>
      <c r="C86" s="83" t="s">
        <v>298</v>
      </c>
      <c r="D86" s="83" t="s">
        <v>303</v>
      </c>
      <c r="E86" s="14" t="s">
        <v>34</v>
      </c>
      <c r="F86" s="41" t="s">
        <v>330</v>
      </c>
      <c r="G86" s="15">
        <v>45962</v>
      </c>
      <c r="H86" s="43">
        <v>47058</v>
      </c>
      <c r="I86" s="56">
        <v>2369</v>
      </c>
      <c r="J86" s="56">
        <v>790</v>
      </c>
      <c r="K86" s="56">
        <v>1579</v>
      </c>
      <c r="L86" s="57">
        <v>2126</v>
      </c>
      <c r="M86" s="57">
        <v>709</v>
      </c>
      <c r="N86" s="57">
        <v>1417</v>
      </c>
      <c r="O86" s="58">
        <f t="shared" si="2"/>
        <v>81</v>
      </c>
      <c r="P86" s="58">
        <f t="shared" si="3"/>
        <v>162</v>
      </c>
      <c r="Q86" s="74">
        <v>86.3</v>
      </c>
      <c r="R86" s="101" t="s">
        <v>216</v>
      </c>
      <c r="S86" s="24" t="s">
        <v>37</v>
      </c>
      <c r="T86" s="40"/>
      <c r="U86" s="40" t="s">
        <v>331</v>
      </c>
    </row>
    <row r="87" s="3" customFormat="1" ht="89" customHeight="1" spans="1:21">
      <c r="A87" s="39">
        <v>83</v>
      </c>
      <c r="B87" s="40" t="s">
        <v>332</v>
      </c>
      <c r="C87" s="83" t="s">
        <v>298</v>
      </c>
      <c r="D87" s="83" t="s">
        <v>333</v>
      </c>
      <c r="E87" s="14" t="s">
        <v>34</v>
      </c>
      <c r="F87" s="41" t="s">
        <v>334</v>
      </c>
      <c r="G87" s="15">
        <v>45962</v>
      </c>
      <c r="H87" s="43">
        <v>47058</v>
      </c>
      <c r="I87" s="64">
        <v>2394</v>
      </c>
      <c r="J87" s="62">
        <v>798</v>
      </c>
      <c r="K87" s="64">
        <v>1596</v>
      </c>
      <c r="L87" s="57">
        <v>2283</v>
      </c>
      <c r="M87" s="57">
        <v>761</v>
      </c>
      <c r="N87" s="57">
        <v>1522</v>
      </c>
      <c r="O87" s="58">
        <f t="shared" si="2"/>
        <v>37</v>
      </c>
      <c r="P87" s="58">
        <f t="shared" si="3"/>
        <v>74</v>
      </c>
      <c r="Q87" s="74">
        <v>86.1</v>
      </c>
      <c r="R87" s="101" t="s">
        <v>216</v>
      </c>
      <c r="S87" s="24" t="s">
        <v>37</v>
      </c>
      <c r="T87" s="40"/>
      <c r="U87" s="40" t="s">
        <v>335</v>
      </c>
    </row>
    <row r="88" s="3" customFormat="1" ht="89" customHeight="1" spans="1:21">
      <c r="A88" s="39">
        <v>84</v>
      </c>
      <c r="B88" s="44" t="s">
        <v>336</v>
      </c>
      <c r="C88" s="83" t="s">
        <v>298</v>
      </c>
      <c r="D88" s="83" t="s">
        <v>308</v>
      </c>
      <c r="E88" s="14" t="s">
        <v>34</v>
      </c>
      <c r="F88" s="41" t="s">
        <v>337</v>
      </c>
      <c r="G88" s="15">
        <v>45962</v>
      </c>
      <c r="H88" s="43">
        <v>47058</v>
      </c>
      <c r="I88" s="64">
        <v>2400</v>
      </c>
      <c r="J88" s="87">
        <v>800</v>
      </c>
      <c r="K88" s="64">
        <v>1600</v>
      </c>
      <c r="L88" s="57">
        <v>2316</v>
      </c>
      <c r="M88" s="57">
        <v>772</v>
      </c>
      <c r="N88" s="57">
        <v>1544</v>
      </c>
      <c r="O88" s="58">
        <f t="shared" si="2"/>
        <v>28</v>
      </c>
      <c r="P88" s="58">
        <f t="shared" si="3"/>
        <v>56</v>
      </c>
      <c r="Q88" s="74">
        <v>85.9</v>
      </c>
      <c r="R88" s="101" t="s">
        <v>208</v>
      </c>
      <c r="S88" s="24" t="s">
        <v>37</v>
      </c>
      <c r="T88" s="40"/>
      <c r="U88" s="40" t="s">
        <v>338</v>
      </c>
    </row>
    <row r="89" s="3" customFormat="1" ht="89" customHeight="1" spans="1:21">
      <c r="A89" s="39">
        <v>85</v>
      </c>
      <c r="B89" s="40" t="s">
        <v>339</v>
      </c>
      <c r="C89" s="83" t="s">
        <v>298</v>
      </c>
      <c r="D89" s="83" t="s">
        <v>303</v>
      </c>
      <c r="E89" s="14" t="s">
        <v>34</v>
      </c>
      <c r="F89" s="41" t="s">
        <v>340</v>
      </c>
      <c r="G89" s="15">
        <v>45962</v>
      </c>
      <c r="H89" s="43">
        <v>47058</v>
      </c>
      <c r="I89" s="88">
        <v>2376</v>
      </c>
      <c r="J89" s="62">
        <v>792</v>
      </c>
      <c r="K89" s="62">
        <v>1584</v>
      </c>
      <c r="L89" s="57">
        <v>2196</v>
      </c>
      <c r="M89" s="57">
        <v>732</v>
      </c>
      <c r="N89" s="57">
        <v>1464</v>
      </c>
      <c r="O89" s="58">
        <f t="shared" si="2"/>
        <v>60</v>
      </c>
      <c r="P89" s="58">
        <f t="shared" si="3"/>
        <v>120</v>
      </c>
      <c r="Q89" s="74">
        <v>85.5</v>
      </c>
      <c r="R89" s="101" t="s">
        <v>189</v>
      </c>
      <c r="S89" s="24" t="s">
        <v>37</v>
      </c>
      <c r="T89" s="40"/>
      <c r="U89" s="40" t="s">
        <v>341</v>
      </c>
    </row>
    <row r="90" s="3" customFormat="1" ht="89" customHeight="1" spans="1:21">
      <c r="A90" s="39">
        <v>86</v>
      </c>
      <c r="B90" s="40" t="s">
        <v>342</v>
      </c>
      <c r="C90" s="83" t="s">
        <v>298</v>
      </c>
      <c r="D90" s="83" t="s">
        <v>333</v>
      </c>
      <c r="E90" s="14" t="s">
        <v>34</v>
      </c>
      <c r="F90" s="41" t="s">
        <v>343</v>
      </c>
      <c r="G90" s="15">
        <v>45962</v>
      </c>
      <c r="H90" s="43">
        <v>47058</v>
      </c>
      <c r="I90" s="56">
        <v>2400</v>
      </c>
      <c r="J90" s="56">
        <v>800</v>
      </c>
      <c r="K90" s="56">
        <v>1600</v>
      </c>
      <c r="L90" s="57">
        <v>2073</v>
      </c>
      <c r="M90" s="57">
        <v>691</v>
      </c>
      <c r="N90" s="57">
        <v>1382</v>
      </c>
      <c r="O90" s="58">
        <f t="shared" si="2"/>
        <v>109</v>
      </c>
      <c r="P90" s="58">
        <f t="shared" si="3"/>
        <v>218</v>
      </c>
      <c r="Q90" s="74">
        <v>85.2</v>
      </c>
      <c r="R90" s="101" t="s">
        <v>216</v>
      </c>
      <c r="S90" s="24" t="s">
        <v>37</v>
      </c>
      <c r="T90" s="40"/>
      <c r="U90" s="40" t="s">
        <v>344</v>
      </c>
    </row>
    <row r="91" s="3" customFormat="1" ht="89" customHeight="1" spans="1:21">
      <c r="A91" s="39">
        <v>87</v>
      </c>
      <c r="B91" s="40" t="s">
        <v>345</v>
      </c>
      <c r="C91" s="83" t="s">
        <v>298</v>
      </c>
      <c r="D91" s="83" t="s">
        <v>299</v>
      </c>
      <c r="E91" s="14" t="s">
        <v>34</v>
      </c>
      <c r="F91" s="41" t="s">
        <v>346</v>
      </c>
      <c r="G91" s="15">
        <v>45962</v>
      </c>
      <c r="H91" s="43">
        <v>47058</v>
      </c>
      <c r="I91" s="62">
        <v>2385</v>
      </c>
      <c r="J91" s="62">
        <v>795</v>
      </c>
      <c r="K91" s="62">
        <v>1590</v>
      </c>
      <c r="L91" s="57">
        <v>2079</v>
      </c>
      <c r="M91" s="57">
        <v>693</v>
      </c>
      <c r="N91" s="57">
        <v>1386</v>
      </c>
      <c r="O91" s="58">
        <f t="shared" si="2"/>
        <v>102</v>
      </c>
      <c r="P91" s="58">
        <f t="shared" si="3"/>
        <v>204</v>
      </c>
      <c r="Q91" s="74">
        <v>84.4</v>
      </c>
      <c r="R91" s="101" t="s">
        <v>227</v>
      </c>
      <c r="S91" s="24" t="s">
        <v>37</v>
      </c>
      <c r="T91" s="40"/>
      <c r="U91" s="40" t="s">
        <v>347</v>
      </c>
    </row>
    <row r="92" s="3" customFormat="1" ht="89" customHeight="1" spans="1:21">
      <c r="A92" s="39">
        <v>73</v>
      </c>
      <c r="B92" s="40" t="s">
        <v>348</v>
      </c>
      <c r="C92" s="83" t="s">
        <v>298</v>
      </c>
      <c r="D92" s="83" t="s">
        <v>308</v>
      </c>
      <c r="E92" s="14" t="s">
        <v>34</v>
      </c>
      <c r="F92" s="41" t="s">
        <v>349</v>
      </c>
      <c r="G92" s="15">
        <v>45962</v>
      </c>
      <c r="H92" s="43">
        <v>47058</v>
      </c>
      <c r="I92" s="56">
        <v>2400</v>
      </c>
      <c r="J92" s="56">
        <v>800</v>
      </c>
      <c r="K92" s="56">
        <v>1600</v>
      </c>
      <c r="L92" s="57">
        <v>2316</v>
      </c>
      <c r="M92" s="57">
        <v>772</v>
      </c>
      <c r="N92" s="57">
        <v>1544</v>
      </c>
      <c r="O92" s="58">
        <f t="shared" si="2"/>
        <v>28</v>
      </c>
      <c r="P92" s="58">
        <f t="shared" si="3"/>
        <v>56</v>
      </c>
      <c r="Q92" s="74">
        <v>89.7</v>
      </c>
      <c r="R92" s="101" t="s">
        <v>189</v>
      </c>
      <c r="S92" s="91" t="s">
        <v>100</v>
      </c>
      <c r="T92" s="46" t="s">
        <v>350</v>
      </c>
      <c r="U92" s="40" t="s">
        <v>351</v>
      </c>
    </row>
    <row r="93" s="3" customFormat="1" ht="89" customHeight="1" spans="1:21">
      <c r="A93" s="39">
        <v>88</v>
      </c>
      <c r="B93" s="40" t="s">
        <v>352</v>
      </c>
      <c r="C93" s="83" t="s">
        <v>298</v>
      </c>
      <c r="D93" s="83" t="s">
        <v>333</v>
      </c>
      <c r="E93" s="14" t="s">
        <v>34</v>
      </c>
      <c r="F93" s="41" t="s">
        <v>353</v>
      </c>
      <c r="G93" s="15">
        <v>45962</v>
      </c>
      <c r="H93" s="43">
        <v>47058</v>
      </c>
      <c r="I93" s="64">
        <v>2400</v>
      </c>
      <c r="J93" s="62">
        <v>800</v>
      </c>
      <c r="K93" s="64">
        <v>1600</v>
      </c>
      <c r="L93" s="57">
        <v>2280</v>
      </c>
      <c r="M93" s="57">
        <v>760</v>
      </c>
      <c r="N93" s="57">
        <v>1520</v>
      </c>
      <c r="O93" s="58">
        <f t="shared" si="2"/>
        <v>40</v>
      </c>
      <c r="P93" s="58">
        <f t="shared" si="3"/>
        <v>80</v>
      </c>
      <c r="Q93" s="74">
        <v>83.9</v>
      </c>
      <c r="R93" s="101" t="s">
        <v>208</v>
      </c>
      <c r="S93" s="17" t="s">
        <v>100</v>
      </c>
      <c r="T93" s="40" t="s">
        <v>101</v>
      </c>
      <c r="U93" s="40" t="s">
        <v>354</v>
      </c>
    </row>
    <row r="94" s="3" customFormat="1" ht="89" customHeight="1" spans="1:21">
      <c r="A94" s="39">
        <v>89</v>
      </c>
      <c r="B94" s="44" t="s">
        <v>355</v>
      </c>
      <c r="C94" s="83" t="s">
        <v>298</v>
      </c>
      <c r="D94" s="83" t="s">
        <v>308</v>
      </c>
      <c r="E94" s="14" t="s">
        <v>34</v>
      </c>
      <c r="F94" s="41" t="s">
        <v>356</v>
      </c>
      <c r="G94" s="15">
        <v>45962</v>
      </c>
      <c r="H94" s="43">
        <v>47058</v>
      </c>
      <c r="I94" s="56">
        <v>2313</v>
      </c>
      <c r="J94" s="56">
        <v>771</v>
      </c>
      <c r="K94" s="56">
        <v>1542</v>
      </c>
      <c r="L94" s="57">
        <v>2208</v>
      </c>
      <c r="M94" s="57">
        <v>754</v>
      </c>
      <c r="N94" s="57">
        <v>1454</v>
      </c>
      <c r="O94" s="58">
        <f t="shared" si="2"/>
        <v>17</v>
      </c>
      <c r="P94" s="58">
        <f t="shared" si="3"/>
        <v>88</v>
      </c>
      <c r="Q94" s="74">
        <v>82.7</v>
      </c>
      <c r="R94" s="101" t="s">
        <v>223</v>
      </c>
      <c r="S94" s="17" t="s">
        <v>100</v>
      </c>
      <c r="T94" s="40" t="s">
        <v>101</v>
      </c>
      <c r="U94" s="40" t="s">
        <v>357</v>
      </c>
    </row>
    <row r="95" s="3" customFormat="1" ht="89" customHeight="1" spans="1:21">
      <c r="A95" s="39">
        <v>90</v>
      </c>
      <c r="B95" s="40" t="s">
        <v>358</v>
      </c>
      <c r="C95" s="83" t="s">
        <v>298</v>
      </c>
      <c r="D95" s="83" t="s">
        <v>303</v>
      </c>
      <c r="E95" s="14" t="s">
        <v>34</v>
      </c>
      <c r="F95" s="41" t="s">
        <v>359</v>
      </c>
      <c r="G95" s="15">
        <v>45962</v>
      </c>
      <c r="H95" s="43">
        <v>46692</v>
      </c>
      <c r="I95" s="62">
        <v>2370</v>
      </c>
      <c r="J95" s="62">
        <v>790</v>
      </c>
      <c r="K95" s="62">
        <v>1580</v>
      </c>
      <c r="L95" s="57">
        <v>2313</v>
      </c>
      <c r="M95" s="57">
        <v>771</v>
      </c>
      <c r="N95" s="57">
        <v>1542</v>
      </c>
      <c r="O95" s="58">
        <f t="shared" si="2"/>
        <v>19</v>
      </c>
      <c r="P95" s="58">
        <f t="shared" si="3"/>
        <v>38</v>
      </c>
      <c r="Q95" s="74">
        <v>82</v>
      </c>
      <c r="R95" s="101" t="s">
        <v>216</v>
      </c>
      <c r="S95" s="17" t="s">
        <v>100</v>
      </c>
      <c r="T95" s="40" t="s">
        <v>101</v>
      </c>
      <c r="U95" s="40" t="s">
        <v>360</v>
      </c>
    </row>
    <row r="96" s="3" customFormat="1" ht="89" customHeight="1" spans="1:23">
      <c r="A96" s="39">
        <v>91</v>
      </c>
      <c r="B96" s="40" t="s">
        <v>361</v>
      </c>
      <c r="C96" s="83" t="s">
        <v>298</v>
      </c>
      <c r="D96" s="83" t="s">
        <v>308</v>
      </c>
      <c r="E96" s="14" t="s">
        <v>34</v>
      </c>
      <c r="F96" s="41" t="s">
        <v>362</v>
      </c>
      <c r="G96" s="15">
        <v>45962</v>
      </c>
      <c r="H96" s="43">
        <v>47058</v>
      </c>
      <c r="I96" s="64">
        <v>4800</v>
      </c>
      <c r="J96" s="62">
        <v>1200</v>
      </c>
      <c r="K96" s="64">
        <v>3600</v>
      </c>
      <c r="L96" s="57">
        <v>4220</v>
      </c>
      <c r="M96" s="57">
        <v>1055</v>
      </c>
      <c r="N96" s="57">
        <v>3165</v>
      </c>
      <c r="O96" s="58">
        <f t="shared" si="2"/>
        <v>145</v>
      </c>
      <c r="P96" s="58">
        <f t="shared" si="3"/>
        <v>435</v>
      </c>
      <c r="Q96" s="74">
        <v>81.6</v>
      </c>
      <c r="R96" s="101" t="s">
        <v>216</v>
      </c>
      <c r="S96" s="24" t="s">
        <v>37</v>
      </c>
      <c r="T96" s="46" t="s">
        <v>96</v>
      </c>
      <c r="U96" s="40" t="s">
        <v>363</v>
      </c>
      <c r="W96" s="40" t="s">
        <v>364</v>
      </c>
    </row>
    <row r="97" s="3" customFormat="1" ht="89" customHeight="1" spans="1:21">
      <c r="A97" s="39">
        <v>92</v>
      </c>
      <c r="B97" s="40" t="s">
        <v>365</v>
      </c>
      <c r="C97" s="83" t="s">
        <v>298</v>
      </c>
      <c r="D97" s="83" t="s">
        <v>299</v>
      </c>
      <c r="E97" s="14" t="s">
        <v>34</v>
      </c>
      <c r="F97" s="41" t="s">
        <v>366</v>
      </c>
      <c r="G97" s="15">
        <v>45962</v>
      </c>
      <c r="H97" s="43">
        <v>47058</v>
      </c>
      <c r="I97" s="56">
        <v>2400</v>
      </c>
      <c r="J97" s="56">
        <v>800</v>
      </c>
      <c r="K97" s="56">
        <v>1600</v>
      </c>
      <c r="L97" s="57">
        <v>2334</v>
      </c>
      <c r="M97" s="57">
        <v>778</v>
      </c>
      <c r="N97" s="57">
        <v>1556</v>
      </c>
      <c r="O97" s="58">
        <f t="shared" si="2"/>
        <v>22</v>
      </c>
      <c r="P97" s="58">
        <f t="shared" si="3"/>
        <v>44</v>
      </c>
      <c r="Q97" s="74">
        <v>81.2</v>
      </c>
      <c r="R97" s="101" t="s">
        <v>208</v>
      </c>
      <c r="S97" s="17" t="s">
        <v>100</v>
      </c>
      <c r="T97" s="40" t="s">
        <v>101</v>
      </c>
      <c r="U97" s="40" t="s">
        <v>367</v>
      </c>
    </row>
    <row r="98" s="3" customFormat="1" ht="89" customHeight="1" spans="1:23">
      <c r="A98" s="39">
        <v>93</v>
      </c>
      <c r="B98" s="40" t="s">
        <v>368</v>
      </c>
      <c r="C98" s="83" t="s">
        <v>369</v>
      </c>
      <c r="D98" s="83" t="s">
        <v>370</v>
      </c>
      <c r="E98" s="14" t="s">
        <v>34</v>
      </c>
      <c r="F98" s="41" t="s">
        <v>371</v>
      </c>
      <c r="G98" s="15">
        <v>45962</v>
      </c>
      <c r="H98" s="43">
        <v>47058</v>
      </c>
      <c r="I98" s="62">
        <v>3690</v>
      </c>
      <c r="J98" s="62">
        <v>1230</v>
      </c>
      <c r="K98" s="62">
        <v>2460</v>
      </c>
      <c r="L98" s="59">
        <f>SUBTOTAL(9,M98:N98)</f>
        <v>3615</v>
      </c>
      <c r="M98" s="59">
        <f>1185+20</f>
        <v>1205</v>
      </c>
      <c r="N98" s="59">
        <v>2410</v>
      </c>
      <c r="O98" s="58">
        <f t="shared" si="2"/>
        <v>25</v>
      </c>
      <c r="P98" s="58">
        <f t="shared" si="3"/>
        <v>50</v>
      </c>
      <c r="Q98" s="74">
        <v>89.2</v>
      </c>
      <c r="R98" s="101" t="s">
        <v>189</v>
      </c>
      <c r="S98" s="24" t="s">
        <v>37</v>
      </c>
      <c r="T98" s="46"/>
      <c r="U98" s="40" t="s">
        <v>372</v>
      </c>
      <c r="W98" s="44" t="s">
        <v>373</v>
      </c>
    </row>
    <row r="99" s="3" customFormat="1" ht="89" customHeight="1" spans="1:21">
      <c r="A99" s="39">
        <v>94</v>
      </c>
      <c r="B99" s="40" t="s">
        <v>374</v>
      </c>
      <c r="C99" s="83" t="s">
        <v>369</v>
      </c>
      <c r="D99" s="83" t="s">
        <v>375</v>
      </c>
      <c r="E99" s="14" t="s">
        <v>34</v>
      </c>
      <c r="F99" s="41" t="s">
        <v>376</v>
      </c>
      <c r="G99" s="15">
        <v>45962</v>
      </c>
      <c r="H99" s="43">
        <v>47058</v>
      </c>
      <c r="I99" s="64">
        <v>2400</v>
      </c>
      <c r="J99" s="62">
        <v>800</v>
      </c>
      <c r="K99" s="64">
        <v>1600</v>
      </c>
      <c r="L99" s="57">
        <v>2295</v>
      </c>
      <c r="M99" s="57">
        <v>765</v>
      </c>
      <c r="N99" s="57">
        <v>1530</v>
      </c>
      <c r="O99" s="58">
        <f t="shared" si="2"/>
        <v>35</v>
      </c>
      <c r="P99" s="58">
        <f t="shared" si="3"/>
        <v>70</v>
      </c>
      <c r="Q99" s="74">
        <v>89.1</v>
      </c>
      <c r="R99" s="101" t="s">
        <v>216</v>
      </c>
      <c r="S99" s="24" t="s">
        <v>37</v>
      </c>
      <c r="T99" s="40"/>
      <c r="U99" s="40" t="s">
        <v>377</v>
      </c>
    </row>
    <row r="100" s="3" customFormat="1" ht="89" customHeight="1" spans="1:21">
      <c r="A100" s="39">
        <v>95</v>
      </c>
      <c r="B100" s="40" t="s">
        <v>378</v>
      </c>
      <c r="C100" s="83" t="s">
        <v>369</v>
      </c>
      <c r="D100" s="83" t="s">
        <v>370</v>
      </c>
      <c r="E100" s="14" t="s">
        <v>34</v>
      </c>
      <c r="F100" s="41" t="s">
        <v>379</v>
      </c>
      <c r="G100" s="15">
        <v>45962</v>
      </c>
      <c r="H100" s="43">
        <v>47058</v>
      </c>
      <c r="I100" s="62">
        <v>2397</v>
      </c>
      <c r="J100" s="62">
        <v>790</v>
      </c>
      <c r="K100" s="62">
        <v>1607</v>
      </c>
      <c r="L100" s="57">
        <v>2297</v>
      </c>
      <c r="M100" s="57">
        <v>757</v>
      </c>
      <c r="N100" s="57">
        <v>1540</v>
      </c>
      <c r="O100" s="58">
        <f t="shared" si="2"/>
        <v>33</v>
      </c>
      <c r="P100" s="58">
        <f t="shared" si="3"/>
        <v>67</v>
      </c>
      <c r="Q100" s="74">
        <v>88.5</v>
      </c>
      <c r="R100" s="101" t="s">
        <v>216</v>
      </c>
      <c r="S100" s="24" t="s">
        <v>37</v>
      </c>
      <c r="T100" s="40"/>
      <c r="U100" s="40" t="s">
        <v>380</v>
      </c>
    </row>
    <row r="101" s="3" customFormat="1" ht="89" customHeight="1" spans="1:21">
      <c r="A101" s="39">
        <v>96</v>
      </c>
      <c r="B101" s="44" t="s">
        <v>381</v>
      </c>
      <c r="C101" s="14" t="s">
        <v>369</v>
      </c>
      <c r="D101" s="14" t="s">
        <v>370</v>
      </c>
      <c r="E101" s="14" t="s">
        <v>34</v>
      </c>
      <c r="F101" s="41" t="s">
        <v>382</v>
      </c>
      <c r="G101" s="15">
        <v>45962</v>
      </c>
      <c r="H101" s="43">
        <v>47058</v>
      </c>
      <c r="I101" s="56">
        <v>3450</v>
      </c>
      <c r="J101" s="56">
        <v>1150</v>
      </c>
      <c r="K101" s="56">
        <v>2300</v>
      </c>
      <c r="L101" s="57">
        <v>3300</v>
      </c>
      <c r="M101" s="57">
        <v>1100</v>
      </c>
      <c r="N101" s="57">
        <v>2200</v>
      </c>
      <c r="O101" s="58">
        <f t="shared" si="2"/>
        <v>50</v>
      </c>
      <c r="P101" s="58">
        <f t="shared" si="3"/>
        <v>100</v>
      </c>
      <c r="Q101" s="74">
        <v>88.5</v>
      </c>
      <c r="R101" s="101" t="s">
        <v>189</v>
      </c>
      <c r="S101" s="24" t="s">
        <v>37</v>
      </c>
      <c r="T101" s="40"/>
      <c r="U101" s="40" t="s">
        <v>383</v>
      </c>
    </row>
    <row r="102" s="3" customFormat="1" ht="89" customHeight="1" spans="1:21">
      <c r="A102" s="39">
        <v>97</v>
      </c>
      <c r="B102" s="40" t="s">
        <v>384</v>
      </c>
      <c r="C102" s="14" t="s">
        <v>369</v>
      </c>
      <c r="D102" s="14" t="s">
        <v>370</v>
      </c>
      <c r="E102" s="14" t="s">
        <v>34</v>
      </c>
      <c r="F102" s="41" t="s">
        <v>385</v>
      </c>
      <c r="G102" s="15">
        <v>45962</v>
      </c>
      <c r="H102" s="43">
        <v>47058</v>
      </c>
      <c r="I102" s="62">
        <v>2417</v>
      </c>
      <c r="J102" s="62">
        <v>780</v>
      </c>
      <c r="K102" s="62">
        <v>1637</v>
      </c>
      <c r="L102" s="57">
        <v>2070</v>
      </c>
      <c r="M102" s="57">
        <v>668</v>
      </c>
      <c r="N102" s="57">
        <v>1402</v>
      </c>
      <c r="O102" s="58">
        <f t="shared" si="2"/>
        <v>112</v>
      </c>
      <c r="P102" s="58">
        <f t="shared" si="3"/>
        <v>235</v>
      </c>
      <c r="Q102" s="74">
        <v>88.2</v>
      </c>
      <c r="R102" s="101" t="s">
        <v>189</v>
      </c>
      <c r="S102" s="24" t="s">
        <v>37</v>
      </c>
      <c r="T102" s="40"/>
      <c r="U102" s="40" t="s">
        <v>386</v>
      </c>
    </row>
    <row r="103" s="3" customFormat="1" ht="89" customHeight="1" spans="1:21">
      <c r="A103" s="39">
        <v>98</v>
      </c>
      <c r="B103" s="40" t="s">
        <v>387</v>
      </c>
      <c r="C103" s="14" t="s">
        <v>369</v>
      </c>
      <c r="D103" s="14" t="s">
        <v>375</v>
      </c>
      <c r="E103" s="14" t="s">
        <v>34</v>
      </c>
      <c r="F103" s="41" t="s">
        <v>388</v>
      </c>
      <c r="G103" s="15">
        <v>45962</v>
      </c>
      <c r="H103" s="43">
        <v>47058</v>
      </c>
      <c r="I103" s="88">
        <v>1770</v>
      </c>
      <c r="J103" s="62">
        <v>590</v>
      </c>
      <c r="K103" s="62">
        <v>1180</v>
      </c>
      <c r="L103" s="57">
        <v>1698</v>
      </c>
      <c r="M103" s="57">
        <v>566</v>
      </c>
      <c r="N103" s="57">
        <v>1132</v>
      </c>
      <c r="O103" s="58">
        <f t="shared" si="2"/>
        <v>24</v>
      </c>
      <c r="P103" s="58">
        <f t="shared" si="3"/>
        <v>48</v>
      </c>
      <c r="Q103" s="74">
        <v>87.5</v>
      </c>
      <c r="R103" s="101" t="s">
        <v>189</v>
      </c>
      <c r="S103" s="24" t="s">
        <v>37</v>
      </c>
      <c r="T103" s="40"/>
      <c r="U103" s="40" t="s">
        <v>389</v>
      </c>
    </row>
    <row r="104" s="3" customFormat="1" ht="89" customHeight="1" spans="1:21">
      <c r="A104" s="39">
        <v>99</v>
      </c>
      <c r="B104" s="40" t="s">
        <v>390</v>
      </c>
      <c r="C104" s="14" t="s">
        <v>369</v>
      </c>
      <c r="D104" s="14" t="s">
        <v>370</v>
      </c>
      <c r="E104" s="14" t="s">
        <v>34</v>
      </c>
      <c r="F104" s="41" t="s">
        <v>391</v>
      </c>
      <c r="G104" s="15">
        <v>45962</v>
      </c>
      <c r="H104" s="43">
        <v>47058</v>
      </c>
      <c r="I104" s="56">
        <v>2370</v>
      </c>
      <c r="J104" s="56">
        <v>790</v>
      </c>
      <c r="K104" s="56">
        <v>1580</v>
      </c>
      <c r="L104" s="57">
        <v>2256</v>
      </c>
      <c r="M104" s="57">
        <v>752</v>
      </c>
      <c r="N104" s="57">
        <v>1504</v>
      </c>
      <c r="O104" s="58">
        <f t="shared" si="2"/>
        <v>38</v>
      </c>
      <c r="P104" s="58">
        <f t="shared" si="3"/>
        <v>76</v>
      </c>
      <c r="Q104" s="74">
        <v>86.6</v>
      </c>
      <c r="R104" s="101" t="s">
        <v>189</v>
      </c>
      <c r="S104" s="24" t="s">
        <v>37</v>
      </c>
      <c r="T104" s="40"/>
      <c r="U104" s="40" t="s">
        <v>392</v>
      </c>
    </row>
    <row r="105" s="3" customFormat="1" ht="89" customHeight="1" spans="1:23">
      <c r="A105" s="39">
        <v>100</v>
      </c>
      <c r="B105" s="44" t="s">
        <v>393</v>
      </c>
      <c r="C105" s="14" t="s">
        <v>369</v>
      </c>
      <c r="D105" s="14" t="s">
        <v>375</v>
      </c>
      <c r="E105" s="14" t="s">
        <v>34</v>
      </c>
      <c r="F105" s="41" t="s">
        <v>394</v>
      </c>
      <c r="G105" s="15">
        <v>45962</v>
      </c>
      <c r="H105" s="43">
        <v>47058</v>
      </c>
      <c r="I105" s="64">
        <v>5401</v>
      </c>
      <c r="J105" s="62">
        <v>4601</v>
      </c>
      <c r="K105" s="64">
        <v>800</v>
      </c>
      <c r="L105" s="89">
        <f>M105+N105</f>
        <v>4383</v>
      </c>
      <c r="M105" s="89">
        <f>3534+200</f>
        <v>3734</v>
      </c>
      <c r="N105" s="89">
        <v>649</v>
      </c>
      <c r="O105" s="58">
        <f t="shared" si="2"/>
        <v>867</v>
      </c>
      <c r="P105" s="58">
        <f t="shared" si="3"/>
        <v>151</v>
      </c>
      <c r="Q105" s="74">
        <v>86</v>
      </c>
      <c r="R105" s="101" t="s">
        <v>189</v>
      </c>
      <c r="S105" s="24" t="s">
        <v>37</v>
      </c>
      <c r="T105" s="46" t="s">
        <v>395</v>
      </c>
      <c r="U105" s="40" t="s">
        <v>396</v>
      </c>
      <c r="W105" s="40" t="s">
        <v>397</v>
      </c>
    </row>
    <row r="106" s="3" customFormat="1" ht="89" customHeight="1" spans="1:23">
      <c r="A106" s="39">
        <v>101</v>
      </c>
      <c r="B106" s="40" t="s">
        <v>398</v>
      </c>
      <c r="C106" s="14" t="s">
        <v>369</v>
      </c>
      <c r="D106" s="14" t="s">
        <v>375</v>
      </c>
      <c r="E106" s="14" t="s">
        <v>34</v>
      </c>
      <c r="F106" s="41" t="s">
        <v>399</v>
      </c>
      <c r="G106" s="15">
        <v>45962</v>
      </c>
      <c r="H106" s="43">
        <v>47058</v>
      </c>
      <c r="I106" s="64">
        <v>5473</v>
      </c>
      <c r="J106" s="62">
        <v>4673</v>
      </c>
      <c r="K106" s="64">
        <v>800</v>
      </c>
      <c r="L106" s="89">
        <f>M106+N106</f>
        <v>4589</v>
      </c>
      <c r="M106" s="89">
        <v>3918</v>
      </c>
      <c r="N106" s="89">
        <v>671</v>
      </c>
      <c r="O106" s="58">
        <f t="shared" si="2"/>
        <v>755</v>
      </c>
      <c r="P106" s="58">
        <f t="shared" si="3"/>
        <v>129</v>
      </c>
      <c r="Q106" s="74">
        <v>86</v>
      </c>
      <c r="R106" s="101" t="s">
        <v>189</v>
      </c>
      <c r="S106" s="24" t="s">
        <v>37</v>
      </c>
      <c r="T106" s="46" t="s">
        <v>395</v>
      </c>
      <c r="U106" s="40" t="s">
        <v>400</v>
      </c>
      <c r="W106" s="40" t="s">
        <v>401</v>
      </c>
    </row>
    <row r="107" s="3" customFormat="1" ht="89" customHeight="1" spans="1:23">
      <c r="A107" s="39">
        <v>102</v>
      </c>
      <c r="B107" s="40" t="s">
        <v>402</v>
      </c>
      <c r="C107" s="14" t="s">
        <v>369</v>
      </c>
      <c r="D107" s="14" t="s">
        <v>370</v>
      </c>
      <c r="E107" s="14" t="s">
        <v>34</v>
      </c>
      <c r="F107" s="41" t="s">
        <v>403</v>
      </c>
      <c r="G107" s="15">
        <v>45962</v>
      </c>
      <c r="H107" s="43">
        <v>47058</v>
      </c>
      <c r="I107" s="62">
        <v>5300</v>
      </c>
      <c r="J107" s="62">
        <v>4500</v>
      </c>
      <c r="K107" s="62">
        <v>800</v>
      </c>
      <c r="L107" s="89">
        <f>M107+N107</f>
        <v>4511</v>
      </c>
      <c r="M107" s="89">
        <v>3830</v>
      </c>
      <c r="N107" s="89">
        <v>681</v>
      </c>
      <c r="O107" s="58">
        <f t="shared" si="2"/>
        <v>670</v>
      </c>
      <c r="P107" s="58">
        <f t="shared" si="3"/>
        <v>119</v>
      </c>
      <c r="Q107" s="74">
        <v>85.9</v>
      </c>
      <c r="R107" s="101" t="s">
        <v>189</v>
      </c>
      <c r="S107" s="24" t="s">
        <v>37</v>
      </c>
      <c r="T107" s="46" t="s">
        <v>395</v>
      </c>
      <c r="U107" s="40" t="s">
        <v>404</v>
      </c>
      <c r="W107" s="40" t="s">
        <v>405</v>
      </c>
    </row>
    <row r="108" s="3" customFormat="1" ht="89" customHeight="1" spans="1:21">
      <c r="A108" s="39">
        <v>103</v>
      </c>
      <c r="B108" s="40" t="s">
        <v>406</v>
      </c>
      <c r="C108" s="14" t="s">
        <v>369</v>
      </c>
      <c r="D108" s="14" t="s">
        <v>375</v>
      </c>
      <c r="E108" s="14" t="s">
        <v>34</v>
      </c>
      <c r="F108" s="41" t="s">
        <v>407</v>
      </c>
      <c r="G108" s="15">
        <v>45962</v>
      </c>
      <c r="H108" s="43">
        <v>47058</v>
      </c>
      <c r="I108" s="56">
        <v>2346</v>
      </c>
      <c r="J108" s="56">
        <v>786</v>
      </c>
      <c r="K108" s="56">
        <v>1560</v>
      </c>
      <c r="L108" s="57">
        <v>1994</v>
      </c>
      <c r="M108" s="57">
        <v>668</v>
      </c>
      <c r="N108" s="57">
        <v>1326</v>
      </c>
      <c r="O108" s="58">
        <f t="shared" si="2"/>
        <v>118</v>
      </c>
      <c r="P108" s="58">
        <f t="shared" si="3"/>
        <v>234</v>
      </c>
      <c r="Q108" s="74">
        <v>84.5</v>
      </c>
      <c r="R108" s="101" t="s">
        <v>208</v>
      </c>
      <c r="S108" s="24" t="s">
        <v>37</v>
      </c>
      <c r="T108" s="40"/>
      <c r="U108" s="40" t="s">
        <v>408</v>
      </c>
    </row>
    <row r="109" s="3" customFormat="1" ht="89" customHeight="1" spans="1:23">
      <c r="A109" s="39">
        <v>104</v>
      </c>
      <c r="B109" s="40" t="s">
        <v>409</v>
      </c>
      <c r="C109" s="14" t="s">
        <v>369</v>
      </c>
      <c r="D109" s="14" t="s">
        <v>375</v>
      </c>
      <c r="E109" s="14" t="s">
        <v>34</v>
      </c>
      <c r="F109" s="41" t="s">
        <v>410</v>
      </c>
      <c r="G109" s="15">
        <v>45962</v>
      </c>
      <c r="H109" s="43">
        <v>47058</v>
      </c>
      <c r="I109" s="64">
        <v>5493</v>
      </c>
      <c r="J109" s="62">
        <v>4693</v>
      </c>
      <c r="K109" s="64">
        <v>800</v>
      </c>
      <c r="L109" s="89">
        <f>M109+N109</f>
        <v>4572</v>
      </c>
      <c r="M109" s="89">
        <v>3906</v>
      </c>
      <c r="N109" s="89">
        <v>666</v>
      </c>
      <c r="O109" s="58">
        <f t="shared" si="2"/>
        <v>787</v>
      </c>
      <c r="P109" s="58">
        <f t="shared" si="3"/>
        <v>134</v>
      </c>
      <c r="Q109" s="74">
        <v>84.2</v>
      </c>
      <c r="R109" s="101" t="s">
        <v>189</v>
      </c>
      <c r="S109" s="24" t="s">
        <v>37</v>
      </c>
      <c r="T109" s="46" t="s">
        <v>395</v>
      </c>
      <c r="U109" s="40" t="s">
        <v>411</v>
      </c>
      <c r="W109" s="40" t="s">
        <v>412</v>
      </c>
    </row>
    <row r="110" s="3" customFormat="1" ht="89" customHeight="1" spans="1:21">
      <c r="A110" s="39">
        <v>105</v>
      </c>
      <c r="B110" s="40" t="s">
        <v>413</v>
      </c>
      <c r="C110" s="14" t="s">
        <v>369</v>
      </c>
      <c r="D110" s="14" t="s">
        <v>370</v>
      </c>
      <c r="E110" s="14" t="s">
        <v>34</v>
      </c>
      <c r="F110" s="41" t="s">
        <v>414</v>
      </c>
      <c r="G110" s="15">
        <v>45962</v>
      </c>
      <c r="H110" s="43">
        <v>47058</v>
      </c>
      <c r="I110" s="56">
        <v>2340</v>
      </c>
      <c r="J110" s="56">
        <v>780</v>
      </c>
      <c r="K110" s="56">
        <v>1560</v>
      </c>
      <c r="L110" s="57">
        <v>2235</v>
      </c>
      <c r="M110" s="57">
        <v>745</v>
      </c>
      <c r="N110" s="57">
        <v>1490</v>
      </c>
      <c r="O110" s="58">
        <f t="shared" si="2"/>
        <v>35</v>
      </c>
      <c r="P110" s="58">
        <f t="shared" si="3"/>
        <v>70</v>
      </c>
      <c r="Q110" s="74">
        <v>84</v>
      </c>
      <c r="R110" s="101" t="s">
        <v>208</v>
      </c>
      <c r="S110" s="24" t="s">
        <v>37</v>
      </c>
      <c r="T110" s="40"/>
      <c r="U110" s="40" t="s">
        <v>415</v>
      </c>
    </row>
    <row r="111" s="3" customFormat="1" ht="89" customHeight="1" spans="1:21">
      <c r="A111" s="39">
        <v>106</v>
      </c>
      <c r="B111" s="40" t="s">
        <v>416</v>
      </c>
      <c r="C111" s="14" t="s">
        <v>369</v>
      </c>
      <c r="D111" s="14" t="s">
        <v>370</v>
      </c>
      <c r="E111" s="14" t="s">
        <v>34</v>
      </c>
      <c r="F111" s="41" t="s">
        <v>417</v>
      </c>
      <c r="G111" s="15">
        <v>45962</v>
      </c>
      <c r="H111" s="43">
        <v>47058</v>
      </c>
      <c r="I111" s="56">
        <v>2400</v>
      </c>
      <c r="J111" s="56">
        <v>800</v>
      </c>
      <c r="K111" s="56">
        <v>1600</v>
      </c>
      <c r="L111" s="57">
        <v>2040</v>
      </c>
      <c r="M111" s="57">
        <v>680</v>
      </c>
      <c r="N111" s="57">
        <v>1360</v>
      </c>
      <c r="O111" s="58">
        <f t="shared" si="2"/>
        <v>120</v>
      </c>
      <c r="P111" s="58">
        <f t="shared" si="3"/>
        <v>240</v>
      </c>
      <c r="Q111" s="74">
        <v>82.4</v>
      </c>
      <c r="R111" s="101" t="s">
        <v>223</v>
      </c>
      <c r="S111" s="17" t="s">
        <v>100</v>
      </c>
      <c r="T111" s="40" t="s">
        <v>101</v>
      </c>
      <c r="U111" s="40" t="s">
        <v>418</v>
      </c>
    </row>
    <row r="112" s="3" customFormat="1" ht="89" customHeight="1" spans="1:21">
      <c r="A112" s="39">
        <v>107</v>
      </c>
      <c r="B112" s="40" t="s">
        <v>419</v>
      </c>
      <c r="C112" s="14" t="s">
        <v>369</v>
      </c>
      <c r="D112" s="14" t="s">
        <v>370</v>
      </c>
      <c r="E112" s="14" t="s">
        <v>34</v>
      </c>
      <c r="F112" s="41" t="s">
        <v>420</v>
      </c>
      <c r="G112" s="15">
        <v>45962</v>
      </c>
      <c r="H112" s="43">
        <v>47058</v>
      </c>
      <c r="I112" s="56">
        <v>2400</v>
      </c>
      <c r="J112" s="56">
        <v>800</v>
      </c>
      <c r="K112" s="56">
        <v>1600</v>
      </c>
      <c r="L112" s="57">
        <v>2064</v>
      </c>
      <c r="M112" s="57">
        <v>688</v>
      </c>
      <c r="N112" s="57">
        <v>1376</v>
      </c>
      <c r="O112" s="58">
        <f t="shared" si="2"/>
        <v>112</v>
      </c>
      <c r="P112" s="58">
        <f t="shared" si="3"/>
        <v>224</v>
      </c>
      <c r="Q112" s="74">
        <v>82.1</v>
      </c>
      <c r="R112" s="101" t="s">
        <v>216</v>
      </c>
      <c r="S112" s="17" t="s">
        <v>100</v>
      </c>
      <c r="T112" s="82" t="s">
        <v>101</v>
      </c>
      <c r="U112" s="82" t="s">
        <v>421</v>
      </c>
    </row>
    <row r="113" s="3" customFormat="1" ht="89" customHeight="1" spans="1:23">
      <c r="A113" s="39">
        <v>108</v>
      </c>
      <c r="B113" s="40" t="s">
        <v>422</v>
      </c>
      <c r="C113" s="14" t="s">
        <v>369</v>
      </c>
      <c r="D113" s="14" t="s">
        <v>375</v>
      </c>
      <c r="E113" s="14" t="s">
        <v>34</v>
      </c>
      <c r="F113" s="41" t="s">
        <v>423</v>
      </c>
      <c r="G113" s="15">
        <v>45962</v>
      </c>
      <c r="H113" s="43">
        <v>47058</v>
      </c>
      <c r="I113" s="56">
        <v>3000</v>
      </c>
      <c r="J113" s="56">
        <v>1000</v>
      </c>
      <c r="K113" s="56">
        <v>2000</v>
      </c>
      <c r="L113" s="57">
        <v>2850</v>
      </c>
      <c r="M113" s="57">
        <v>950</v>
      </c>
      <c r="N113" s="57">
        <v>1900</v>
      </c>
      <c r="O113" s="58">
        <f t="shared" si="2"/>
        <v>50</v>
      </c>
      <c r="P113" s="58">
        <f t="shared" si="3"/>
        <v>100</v>
      </c>
      <c r="Q113" s="74">
        <v>81.3</v>
      </c>
      <c r="R113" s="101" t="s">
        <v>208</v>
      </c>
      <c r="S113" s="24" t="s">
        <v>37</v>
      </c>
      <c r="T113" s="46" t="s">
        <v>96</v>
      </c>
      <c r="U113" s="40" t="s">
        <v>424</v>
      </c>
      <c r="W113" s="40" t="s">
        <v>425</v>
      </c>
    </row>
    <row r="114" s="3" customFormat="1" ht="89" customHeight="1" spans="1:21">
      <c r="A114" s="39">
        <v>109</v>
      </c>
      <c r="B114" s="85" t="s">
        <v>426</v>
      </c>
      <c r="C114" s="14" t="s">
        <v>427</v>
      </c>
      <c r="D114" s="14" t="s">
        <v>428</v>
      </c>
      <c r="E114" s="14" t="s">
        <v>34</v>
      </c>
      <c r="F114" s="41" t="s">
        <v>429</v>
      </c>
      <c r="G114" s="15">
        <v>45962</v>
      </c>
      <c r="H114" s="43">
        <v>46692</v>
      </c>
      <c r="I114" s="56">
        <v>3600</v>
      </c>
      <c r="J114" s="56">
        <v>1200</v>
      </c>
      <c r="K114" s="56">
        <v>2400</v>
      </c>
      <c r="L114" s="61">
        <f>SUBTOTAL(9,M114:N114)</f>
        <v>2670</v>
      </c>
      <c r="M114" s="61">
        <f>1150-260</f>
        <v>890</v>
      </c>
      <c r="N114" s="61">
        <v>1780</v>
      </c>
      <c r="O114" s="58">
        <f t="shared" si="2"/>
        <v>310</v>
      </c>
      <c r="P114" s="58">
        <f t="shared" si="3"/>
        <v>620</v>
      </c>
      <c r="Q114" s="74">
        <v>90.42</v>
      </c>
      <c r="R114" s="101" t="s">
        <v>111</v>
      </c>
      <c r="S114" s="24" t="s">
        <v>37</v>
      </c>
      <c r="T114" s="40"/>
      <c r="U114" s="40" t="s">
        <v>430</v>
      </c>
    </row>
    <row r="115" s="3" customFormat="1" ht="89" customHeight="1" spans="1:23">
      <c r="A115" s="39">
        <v>110</v>
      </c>
      <c r="B115" s="85" t="s">
        <v>431</v>
      </c>
      <c r="C115" s="14" t="s">
        <v>427</v>
      </c>
      <c r="D115" s="14" t="s">
        <v>432</v>
      </c>
      <c r="E115" s="14" t="s">
        <v>34</v>
      </c>
      <c r="F115" s="45" t="s">
        <v>433</v>
      </c>
      <c r="G115" s="15">
        <v>45962</v>
      </c>
      <c r="H115" s="43">
        <v>46692</v>
      </c>
      <c r="I115" s="56">
        <v>3400</v>
      </c>
      <c r="J115" s="56">
        <v>1400</v>
      </c>
      <c r="K115" s="56">
        <v>2000</v>
      </c>
      <c r="L115" s="59">
        <f>SUBTOTAL(9,M115:N115)</f>
        <v>2220</v>
      </c>
      <c r="M115" s="59">
        <f>894+20</f>
        <v>914</v>
      </c>
      <c r="N115" s="59">
        <v>1306</v>
      </c>
      <c r="O115" s="58">
        <f t="shared" si="2"/>
        <v>486</v>
      </c>
      <c r="P115" s="58">
        <f t="shared" si="3"/>
        <v>694</v>
      </c>
      <c r="Q115" s="74">
        <v>89.42</v>
      </c>
      <c r="R115" s="101" t="s">
        <v>111</v>
      </c>
      <c r="S115" s="24" t="s">
        <v>37</v>
      </c>
      <c r="T115" s="46"/>
      <c r="U115" s="40" t="s">
        <v>434</v>
      </c>
      <c r="W115" s="44" t="s">
        <v>435</v>
      </c>
    </row>
    <row r="116" s="3" customFormat="1" ht="89" customHeight="1" spans="1:23">
      <c r="A116" s="39">
        <v>111</v>
      </c>
      <c r="B116" s="85" t="s">
        <v>436</v>
      </c>
      <c r="C116" s="14" t="s">
        <v>427</v>
      </c>
      <c r="D116" s="14" t="s">
        <v>432</v>
      </c>
      <c r="E116" s="14" t="s">
        <v>34</v>
      </c>
      <c r="F116" s="41" t="s">
        <v>437</v>
      </c>
      <c r="G116" s="15">
        <v>45962</v>
      </c>
      <c r="H116" s="43">
        <v>46692</v>
      </c>
      <c r="I116" s="56">
        <v>3000</v>
      </c>
      <c r="J116" s="56">
        <v>1000</v>
      </c>
      <c r="K116" s="56">
        <v>2000</v>
      </c>
      <c r="L116" s="59">
        <f>M116+N116</f>
        <v>2634</v>
      </c>
      <c r="M116" s="59">
        <v>878</v>
      </c>
      <c r="N116" s="59">
        <v>1756</v>
      </c>
      <c r="O116" s="58">
        <f t="shared" si="2"/>
        <v>122</v>
      </c>
      <c r="P116" s="58">
        <f t="shared" si="3"/>
        <v>244</v>
      </c>
      <c r="Q116" s="74">
        <v>89.25</v>
      </c>
      <c r="R116" s="101" t="s">
        <v>111</v>
      </c>
      <c r="S116" s="24" t="s">
        <v>37</v>
      </c>
      <c r="T116" s="46"/>
      <c r="U116" s="40" t="s">
        <v>438</v>
      </c>
      <c r="W116" s="44" t="s">
        <v>439</v>
      </c>
    </row>
    <row r="117" s="3" customFormat="1" ht="89" customHeight="1" spans="1:21">
      <c r="A117" s="39">
        <v>112</v>
      </c>
      <c r="B117" s="85" t="s">
        <v>440</v>
      </c>
      <c r="C117" s="14" t="s">
        <v>427</v>
      </c>
      <c r="D117" s="14" t="s">
        <v>441</v>
      </c>
      <c r="E117" s="14" t="s">
        <v>34</v>
      </c>
      <c r="F117" s="41" t="s">
        <v>442</v>
      </c>
      <c r="G117" s="15">
        <v>45962</v>
      </c>
      <c r="H117" s="43">
        <v>47058</v>
      </c>
      <c r="I117" s="56">
        <v>2940</v>
      </c>
      <c r="J117" s="56">
        <v>980</v>
      </c>
      <c r="K117" s="56">
        <v>1960</v>
      </c>
      <c r="L117" s="61">
        <f t="shared" ref="L117:L127" si="4">SUBTOTAL(9,M117:N117)</f>
        <v>2262</v>
      </c>
      <c r="M117" s="61">
        <f>904-150</f>
        <v>754</v>
      </c>
      <c r="N117" s="61">
        <v>1508</v>
      </c>
      <c r="O117" s="58">
        <f t="shared" si="2"/>
        <v>226</v>
      </c>
      <c r="P117" s="58">
        <f t="shared" si="3"/>
        <v>452</v>
      </c>
      <c r="Q117" s="74">
        <v>88.59</v>
      </c>
      <c r="R117" s="101" t="s">
        <v>111</v>
      </c>
      <c r="S117" s="24" t="s">
        <v>37</v>
      </c>
      <c r="T117" s="40"/>
      <c r="U117" s="40" t="s">
        <v>443</v>
      </c>
    </row>
    <row r="118" s="3" customFormat="1" ht="89" customHeight="1" spans="1:21">
      <c r="A118" s="39">
        <v>113</v>
      </c>
      <c r="B118" s="85" t="s">
        <v>444</v>
      </c>
      <c r="C118" s="14" t="s">
        <v>427</v>
      </c>
      <c r="D118" s="14" t="s">
        <v>445</v>
      </c>
      <c r="E118" s="86" t="s">
        <v>304</v>
      </c>
      <c r="F118" s="41" t="s">
        <v>446</v>
      </c>
      <c r="G118" s="15">
        <v>45962</v>
      </c>
      <c r="H118" s="43">
        <v>46692</v>
      </c>
      <c r="I118" s="56">
        <v>3000</v>
      </c>
      <c r="J118" s="56">
        <v>1000</v>
      </c>
      <c r="K118" s="56">
        <v>2000</v>
      </c>
      <c r="L118" s="61">
        <f t="shared" si="4"/>
        <v>2280</v>
      </c>
      <c r="M118" s="61">
        <f>910-150</f>
        <v>760</v>
      </c>
      <c r="N118" s="61">
        <v>1520</v>
      </c>
      <c r="O118" s="58">
        <f t="shared" si="2"/>
        <v>240</v>
      </c>
      <c r="P118" s="58">
        <f t="shared" si="3"/>
        <v>480</v>
      </c>
      <c r="Q118" s="74">
        <v>88.34</v>
      </c>
      <c r="R118" s="101" t="s">
        <v>111</v>
      </c>
      <c r="S118" s="24" t="s">
        <v>37</v>
      </c>
      <c r="T118" s="40"/>
      <c r="U118" s="40" t="s">
        <v>447</v>
      </c>
    </row>
    <row r="119" s="3" customFormat="1" ht="89" customHeight="1" spans="1:21">
      <c r="A119" s="39">
        <v>114</v>
      </c>
      <c r="B119" s="85" t="s">
        <v>448</v>
      </c>
      <c r="C119" s="14" t="s">
        <v>427</v>
      </c>
      <c r="D119" s="14" t="s">
        <v>445</v>
      </c>
      <c r="E119" s="14" t="s">
        <v>34</v>
      </c>
      <c r="F119" s="41" t="s">
        <v>449</v>
      </c>
      <c r="G119" s="15">
        <v>45962</v>
      </c>
      <c r="H119" s="43">
        <v>47058</v>
      </c>
      <c r="I119" s="56">
        <v>3000</v>
      </c>
      <c r="J119" s="56">
        <v>1000</v>
      </c>
      <c r="K119" s="56">
        <v>2000</v>
      </c>
      <c r="L119" s="61">
        <f t="shared" si="4"/>
        <v>2175</v>
      </c>
      <c r="M119" s="61">
        <f>875-150</f>
        <v>725</v>
      </c>
      <c r="N119" s="61">
        <v>1450</v>
      </c>
      <c r="O119" s="58">
        <f t="shared" si="2"/>
        <v>275</v>
      </c>
      <c r="P119" s="58">
        <f t="shared" si="3"/>
        <v>550</v>
      </c>
      <c r="Q119" s="74">
        <v>88</v>
      </c>
      <c r="R119" s="101" t="s">
        <v>111</v>
      </c>
      <c r="S119" s="24" t="s">
        <v>37</v>
      </c>
      <c r="T119" s="40"/>
      <c r="U119" s="40" t="s">
        <v>450</v>
      </c>
    </row>
    <row r="120" s="3" customFormat="1" ht="89" customHeight="1" spans="1:21">
      <c r="A120" s="39">
        <v>115</v>
      </c>
      <c r="B120" s="85" t="s">
        <v>451</v>
      </c>
      <c r="C120" s="14" t="s">
        <v>427</v>
      </c>
      <c r="D120" s="14" t="s">
        <v>432</v>
      </c>
      <c r="E120" s="14" t="s">
        <v>34</v>
      </c>
      <c r="F120" s="41" t="s">
        <v>452</v>
      </c>
      <c r="G120" s="15">
        <v>45962</v>
      </c>
      <c r="H120" s="43">
        <v>46692</v>
      </c>
      <c r="I120" s="60">
        <v>2910</v>
      </c>
      <c r="J120" s="60">
        <v>985</v>
      </c>
      <c r="K120" s="60">
        <v>1925</v>
      </c>
      <c r="L120" s="61">
        <f t="shared" si="4"/>
        <v>2299</v>
      </c>
      <c r="M120" s="61">
        <f>928-150</f>
        <v>778</v>
      </c>
      <c r="N120" s="61">
        <v>1521</v>
      </c>
      <c r="O120" s="58">
        <f t="shared" si="2"/>
        <v>207</v>
      </c>
      <c r="P120" s="58">
        <f t="shared" si="3"/>
        <v>404</v>
      </c>
      <c r="Q120" s="74">
        <v>86.59</v>
      </c>
      <c r="R120" s="101" t="s">
        <v>111</v>
      </c>
      <c r="S120" s="24" t="s">
        <v>37</v>
      </c>
      <c r="T120" s="82"/>
      <c r="U120" s="82" t="s">
        <v>453</v>
      </c>
    </row>
    <row r="121" s="3" customFormat="1" ht="89" customHeight="1" spans="1:21">
      <c r="A121" s="39">
        <v>116</v>
      </c>
      <c r="B121" s="85" t="s">
        <v>454</v>
      </c>
      <c r="C121" s="14" t="s">
        <v>427</v>
      </c>
      <c r="D121" s="14" t="s">
        <v>428</v>
      </c>
      <c r="E121" s="14" t="s">
        <v>34</v>
      </c>
      <c r="F121" s="41" t="s">
        <v>455</v>
      </c>
      <c r="G121" s="15">
        <v>45962</v>
      </c>
      <c r="H121" s="43">
        <v>46692</v>
      </c>
      <c r="I121" s="56">
        <v>2400</v>
      </c>
      <c r="J121" s="56">
        <v>800</v>
      </c>
      <c r="K121" s="56">
        <v>1600</v>
      </c>
      <c r="L121" s="61">
        <f t="shared" si="4"/>
        <v>2145</v>
      </c>
      <c r="M121" s="61">
        <f>765-50</f>
        <v>715</v>
      </c>
      <c r="N121" s="61">
        <v>1430</v>
      </c>
      <c r="O121" s="58">
        <f t="shared" si="2"/>
        <v>85</v>
      </c>
      <c r="P121" s="58">
        <f t="shared" si="3"/>
        <v>170</v>
      </c>
      <c r="Q121" s="74">
        <v>86.5</v>
      </c>
      <c r="R121" s="101" t="s">
        <v>156</v>
      </c>
      <c r="S121" s="24" t="s">
        <v>37</v>
      </c>
      <c r="T121" s="40"/>
      <c r="U121" s="40" t="s">
        <v>456</v>
      </c>
    </row>
    <row r="122" s="3" customFormat="1" ht="89" customHeight="1" spans="1:21">
      <c r="A122" s="39">
        <v>117</v>
      </c>
      <c r="B122" s="85" t="s">
        <v>457</v>
      </c>
      <c r="C122" s="14" t="s">
        <v>427</v>
      </c>
      <c r="D122" s="14" t="s">
        <v>428</v>
      </c>
      <c r="E122" s="47" t="s">
        <v>304</v>
      </c>
      <c r="F122" s="41" t="s">
        <v>458</v>
      </c>
      <c r="G122" s="15">
        <v>45962</v>
      </c>
      <c r="H122" s="43">
        <v>47027</v>
      </c>
      <c r="I122" s="56">
        <v>2880</v>
      </c>
      <c r="J122" s="56">
        <v>960</v>
      </c>
      <c r="K122" s="56">
        <v>1920</v>
      </c>
      <c r="L122" s="61">
        <f t="shared" si="4"/>
        <v>2310</v>
      </c>
      <c r="M122" s="61">
        <f>920-150</f>
        <v>770</v>
      </c>
      <c r="N122" s="61">
        <v>1540</v>
      </c>
      <c r="O122" s="58">
        <f t="shared" si="2"/>
        <v>190</v>
      </c>
      <c r="P122" s="58">
        <f t="shared" si="3"/>
        <v>380</v>
      </c>
      <c r="Q122" s="74">
        <v>86.25</v>
      </c>
      <c r="R122" s="101" t="s">
        <v>111</v>
      </c>
      <c r="S122" s="24" t="s">
        <v>37</v>
      </c>
      <c r="T122" s="40"/>
      <c r="U122" s="40" t="s">
        <v>459</v>
      </c>
    </row>
    <row r="123" s="3" customFormat="1" ht="89" customHeight="1" spans="1:21">
      <c r="A123" s="39">
        <v>118</v>
      </c>
      <c r="B123" s="85" t="s">
        <v>460</v>
      </c>
      <c r="C123" s="14" t="s">
        <v>427</v>
      </c>
      <c r="D123" s="14" t="s">
        <v>428</v>
      </c>
      <c r="E123" s="14" t="s">
        <v>34</v>
      </c>
      <c r="F123" s="41" t="s">
        <v>461</v>
      </c>
      <c r="G123" s="15">
        <v>45962</v>
      </c>
      <c r="H123" s="43">
        <v>46357</v>
      </c>
      <c r="I123" s="60">
        <v>2250</v>
      </c>
      <c r="J123" s="60">
        <v>750</v>
      </c>
      <c r="K123" s="60">
        <v>1500</v>
      </c>
      <c r="L123" s="57">
        <f t="shared" si="4"/>
        <v>2226</v>
      </c>
      <c r="M123" s="90">
        <v>746</v>
      </c>
      <c r="N123" s="90">
        <v>1480</v>
      </c>
      <c r="O123" s="58">
        <f t="shared" si="2"/>
        <v>4</v>
      </c>
      <c r="P123" s="58">
        <f t="shared" si="3"/>
        <v>20</v>
      </c>
      <c r="Q123" s="74">
        <v>85.42</v>
      </c>
      <c r="R123" s="101" t="s">
        <v>111</v>
      </c>
      <c r="S123" s="24" t="s">
        <v>37</v>
      </c>
      <c r="T123" s="40"/>
      <c r="U123" s="40" t="s">
        <v>462</v>
      </c>
    </row>
    <row r="124" s="3" customFormat="1" ht="89" customHeight="1" spans="1:21">
      <c r="A124" s="39">
        <v>119</v>
      </c>
      <c r="B124" s="85" t="s">
        <v>463</v>
      </c>
      <c r="C124" s="14" t="s">
        <v>427</v>
      </c>
      <c r="D124" s="14" t="s">
        <v>445</v>
      </c>
      <c r="E124" s="14" t="s">
        <v>34</v>
      </c>
      <c r="F124" s="41" t="s">
        <v>464</v>
      </c>
      <c r="G124" s="15">
        <v>45962</v>
      </c>
      <c r="H124" s="43">
        <v>46692</v>
      </c>
      <c r="I124" s="56">
        <v>3000</v>
      </c>
      <c r="J124" s="56">
        <v>1000</v>
      </c>
      <c r="K124" s="56">
        <v>2000</v>
      </c>
      <c r="L124" s="61">
        <f t="shared" si="4"/>
        <v>2190</v>
      </c>
      <c r="M124" s="61">
        <f>880-150</f>
        <v>730</v>
      </c>
      <c r="N124" s="61">
        <v>1460</v>
      </c>
      <c r="O124" s="58">
        <f t="shared" si="2"/>
        <v>270</v>
      </c>
      <c r="P124" s="58">
        <f t="shared" si="3"/>
        <v>540</v>
      </c>
      <c r="Q124" s="74">
        <v>85.25</v>
      </c>
      <c r="R124" s="101" t="s">
        <v>111</v>
      </c>
      <c r="S124" s="24" t="s">
        <v>37</v>
      </c>
      <c r="T124" s="40"/>
      <c r="U124" s="40" t="s">
        <v>465</v>
      </c>
    </row>
    <row r="125" s="3" customFormat="1" ht="89" customHeight="1" spans="1:21">
      <c r="A125" s="39">
        <v>120</v>
      </c>
      <c r="B125" s="85" t="s">
        <v>466</v>
      </c>
      <c r="C125" s="14" t="s">
        <v>427</v>
      </c>
      <c r="D125" s="14" t="s">
        <v>441</v>
      </c>
      <c r="E125" s="14" t="s">
        <v>34</v>
      </c>
      <c r="F125" s="41" t="s">
        <v>467</v>
      </c>
      <c r="G125" s="15">
        <v>45962</v>
      </c>
      <c r="H125" s="43">
        <v>47058</v>
      </c>
      <c r="I125" s="56">
        <v>3000</v>
      </c>
      <c r="J125" s="56">
        <v>1000</v>
      </c>
      <c r="K125" s="56">
        <v>2000</v>
      </c>
      <c r="L125" s="61">
        <f t="shared" si="4"/>
        <v>2085</v>
      </c>
      <c r="M125" s="61">
        <f>845-150</f>
        <v>695</v>
      </c>
      <c r="N125" s="61">
        <v>1390</v>
      </c>
      <c r="O125" s="58">
        <f t="shared" si="2"/>
        <v>305</v>
      </c>
      <c r="P125" s="58">
        <f t="shared" si="3"/>
        <v>610</v>
      </c>
      <c r="Q125" s="74">
        <v>85.09</v>
      </c>
      <c r="R125" s="101" t="s">
        <v>182</v>
      </c>
      <c r="S125" s="24" t="s">
        <v>37</v>
      </c>
      <c r="T125" s="40"/>
      <c r="U125" s="40" t="s">
        <v>468</v>
      </c>
    </row>
    <row r="126" s="3" customFormat="1" ht="89" customHeight="1" spans="1:21">
      <c r="A126" s="39">
        <v>121</v>
      </c>
      <c r="B126" s="85" t="s">
        <v>469</v>
      </c>
      <c r="C126" s="14" t="s">
        <v>427</v>
      </c>
      <c r="D126" s="14" t="s">
        <v>445</v>
      </c>
      <c r="E126" s="14" t="s">
        <v>34</v>
      </c>
      <c r="F126" s="41" t="s">
        <v>470</v>
      </c>
      <c r="G126" s="15">
        <v>45962</v>
      </c>
      <c r="H126" s="43">
        <v>46692</v>
      </c>
      <c r="I126" s="56">
        <v>2230</v>
      </c>
      <c r="J126" s="56">
        <v>730</v>
      </c>
      <c r="K126" s="56">
        <v>1500</v>
      </c>
      <c r="L126" s="57">
        <f t="shared" si="4"/>
        <v>2120</v>
      </c>
      <c r="M126" s="57">
        <v>694</v>
      </c>
      <c r="N126" s="57">
        <v>1426</v>
      </c>
      <c r="O126" s="58">
        <f t="shared" si="2"/>
        <v>36</v>
      </c>
      <c r="P126" s="58">
        <f t="shared" si="3"/>
        <v>74</v>
      </c>
      <c r="Q126" s="74">
        <v>84.84</v>
      </c>
      <c r="R126" s="101" t="s">
        <v>111</v>
      </c>
      <c r="S126" s="24" t="s">
        <v>37</v>
      </c>
      <c r="T126" s="40"/>
      <c r="U126" s="40" t="s">
        <v>471</v>
      </c>
    </row>
    <row r="127" s="3" customFormat="1" ht="89" customHeight="1" spans="1:21">
      <c r="A127" s="39">
        <v>122</v>
      </c>
      <c r="B127" s="85" t="s">
        <v>472</v>
      </c>
      <c r="C127" s="14" t="s">
        <v>427</v>
      </c>
      <c r="D127" s="14" t="s">
        <v>445</v>
      </c>
      <c r="E127" s="14" t="s">
        <v>34</v>
      </c>
      <c r="F127" s="41" t="s">
        <v>473</v>
      </c>
      <c r="G127" s="15">
        <v>45962</v>
      </c>
      <c r="H127" s="43">
        <v>46692</v>
      </c>
      <c r="I127" s="56">
        <v>2940</v>
      </c>
      <c r="J127" s="56">
        <v>980</v>
      </c>
      <c r="K127" s="56">
        <v>1960</v>
      </c>
      <c r="L127" s="61">
        <f t="shared" si="4"/>
        <v>2079</v>
      </c>
      <c r="M127" s="61">
        <f>843-150</f>
        <v>693</v>
      </c>
      <c r="N127" s="61">
        <v>1386</v>
      </c>
      <c r="O127" s="58">
        <f t="shared" si="2"/>
        <v>287</v>
      </c>
      <c r="P127" s="58">
        <f t="shared" si="3"/>
        <v>574</v>
      </c>
      <c r="Q127" s="74">
        <v>84.67</v>
      </c>
      <c r="R127" s="101" t="s">
        <v>474</v>
      </c>
      <c r="S127" s="24" t="s">
        <v>37</v>
      </c>
      <c r="T127" s="40"/>
      <c r="U127" s="40" t="s">
        <v>475</v>
      </c>
    </row>
    <row r="128" s="3" customFormat="1" ht="89" customHeight="1" spans="1:21">
      <c r="A128" s="39">
        <v>123</v>
      </c>
      <c r="B128" s="85" t="s">
        <v>476</v>
      </c>
      <c r="C128" s="14" t="s">
        <v>427</v>
      </c>
      <c r="D128" s="14" t="s">
        <v>432</v>
      </c>
      <c r="E128" s="14" t="s">
        <v>34</v>
      </c>
      <c r="F128" s="41" t="s">
        <v>477</v>
      </c>
      <c r="G128" s="15">
        <v>45962</v>
      </c>
      <c r="H128" s="43">
        <v>46692</v>
      </c>
      <c r="I128" s="56">
        <v>2484</v>
      </c>
      <c r="J128" s="56">
        <v>985</v>
      </c>
      <c r="K128" s="56">
        <v>1499</v>
      </c>
      <c r="L128" s="57">
        <v>2232</v>
      </c>
      <c r="M128" s="57">
        <v>885</v>
      </c>
      <c r="N128" s="57">
        <v>1347</v>
      </c>
      <c r="O128" s="58">
        <f t="shared" si="2"/>
        <v>100</v>
      </c>
      <c r="P128" s="58">
        <f t="shared" si="3"/>
        <v>152</v>
      </c>
      <c r="Q128" s="74">
        <v>83.5</v>
      </c>
      <c r="R128" s="101" t="s">
        <v>156</v>
      </c>
      <c r="S128" s="17" t="s">
        <v>100</v>
      </c>
      <c r="T128" s="40" t="s">
        <v>101</v>
      </c>
      <c r="U128" s="40" t="s">
        <v>478</v>
      </c>
    </row>
    <row r="129" s="3" customFormat="1" ht="89" customHeight="1" spans="1:21">
      <c r="A129" s="39">
        <v>124</v>
      </c>
      <c r="B129" s="85" t="s">
        <v>479</v>
      </c>
      <c r="C129" s="14" t="s">
        <v>427</v>
      </c>
      <c r="D129" s="14" t="s">
        <v>441</v>
      </c>
      <c r="E129" s="14" t="s">
        <v>34</v>
      </c>
      <c r="F129" s="41" t="s">
        <v>480</v>
      </c>
      <c r="G129" s="15">
        <v>45962</v>
      </c>
      <c r="H129" s="43">
        <v>47058</v>
      </c>
      <c r="I129" s="60">
        <v>3070</v>
      </c>
      <c r="J129" s="60">
        <v>1020</v>
      </c>
      <c r="K129" s="60">
        <v>2050</v>
      </c>
      <c r="L129" s="57">
        <v>2558</v>
      </c>
      <c r="M129" s="57">
        <v>850</v>
      </c>
      <c r="N129" s="57">
        <v>1708</v>
      </c>
      <c r="O129" s="58">
        <f t="shared" si="2"/>
        <v>170</v>
      </c>
      <c r="P129" s="58">
        <f t="shared" si="3"/>
        <v>342</v>
      </c>
      <c r="Q129" s="74">
        <v>79.42</v>
      </c>
      <c r="R129" s="101" t="s">
        <v>474</v>
      </c>
      <c r="S129" s="17" t="s">
        <v>100</v>
      </c>
      <c r="T129" s="40" t="s">
        <v>105</v>
      </c>
      <c r="U129" s="40" t="s">
        <v>481</v>
      </c>
    </row>
    <row r="130" s="3" customFormat="1" ht="89" customHeight="1" spans="1:23">
      <c r="A130" s="39">
        <v>125</v>
      </c>
      <c r="B130" s="85" t="s">
        <v>482</v>
      </c>
      <c r="C130" s="14" t="s">
        <v>427</v>
      </c>
      <c r="D130" s="14" t="s">
        <v>445</v>
      </c>
      <c r="E130" s="14" t="s">
        <v>34</v>
      </c>
      <c r="F130" s="41" t="s">
        <v>483</v>
      </c>
      <c r="G130" s="15">
        <v>45962</v>
      </c>
      <c r="H130" s="43">
        <v>46692</v>
      </c>
      <c r="I130" s="56">
        <v>1800</v>
      </c>
      <c r="J130" s="56">
        <v>600</v>
      </c>
      <c r="K130" s="56">
        <v>1200</v>
      </c>
      <c r="L130" s="57">
        <v>1695</v>
      </c>
      <c r="M130" s="57">
        <v>565</v>
      </c>
      <c r="N130" s="57">
        <v>1130</v>
      </c>
      <c r="O130" s="58">
        <f t="shared" si="2"/>
        <v>35</v>
      </c>
      <c r="P130" s="58">
        <f t="shared" si="3"/>
        <v>70</v>
      </c>
      <c r="Q130" s="74">
        <v>77.67</v>
      </c>
      <c r="R130" s="101" t="s">
        <v>484</v>
      </c>
      <c r="S130" s="17" t="s">
        <v>100</v>
      </c>
      <c r="T130" s="40" t="s">
        <v>183</v>
      </c>
      <c r="U130" s="40" t="s">
        <v>485</v>
      </c>
      <c r="W130" s="40" t="s">
        <v>486</v>
      </c>
    </row>
    <row r="131" s="3" customFormat="1" ht="89" customHeight="1" spans="1:23">
      <c r="A131" s="39">
        <v>135</v>
      </c>
      <c r="B131" s="40" t="s">
        <v>487</v>
      </c>
      <c r="C131" s="14" t="s">
        <v>488</v>
      </c>
      <c r="D131" s="14" t="s">
        <v>489</v>
      </c>
      <c r="E131" s="14" t="s">
        <v>34</v>
      </c>
      <c r="F131" s="41" t="s">
        <v>490</v>
      </c>
      <c r="G131" s="15">
        <v>45962</v>
      </c>
      <c r="H131" s="43">
        <v>46692</v>
      </c>
      <c r="I131" s="89">
        <v>2100</v>
      </c>
      <c r="J131" s="89">
        <v>688</v>
      </c>
      <c r="K131" s="89">
        <v>1412</v>
      </c>
      <c r="L131" s="93">
        <f>SUBTOTAL(9,M131:N131)</f>
        <v>1938</v>
      </c>
      <c r="M131" s="93">
        <v>635</v>
      </c>
      <c r="N131" s="93">
        <v>1303</v>
      </c>
      <c r="O131" s="58">
        <f t="shared" si="2"/>
        <v>53</v>
      </c>
      <c r="P131" s="58">
        <f t="shared" si="3"/>
        <v>109</v>
      </c>
      <c r="Q131" s="98">
        <v>92.7</v>
      </c>
      <c r="R131" s="99" t="s">
        <v>491</v>
      </c>
      <c r="S131" s="79" t="s">
        <v>37</v>
      </c>
      <c r="T131" s="40"/>
      <c r="U131" s="40"/>
      <c r="W131" s="100" t="s">
        <v>492</v>
      </c>
    </row>
    <row r="132" s="3" customFormat="1" ht="89" customHeight="1" spans="1:23">
      <c r="A132" s="39">
        <v>136</v>
      </c>
      <c r="B132" s="40" t="s">
        <v>493</v>
      </c>
      <c r="C132" s="14" t="s">
        <v>488</v>
      </c>
      <c r="D132" s="14" t="s">
        <v>489</v>
      </c>
      <c r="E132" s="14" t="s">
        <v>34</v>
      </c>
      <c r="F132" s="41" t="s">
        <v>494</v>
      </c>
      <c r="G132" s="15">
        <v>45962</v>
      </c>
      <c r="H132" s="43">
        <v>47058</v>
      </c>
      <c r="I132" s="89">
        <f>SUBTOTAL(9,J132:K132)</f>
        <v>1504</v>
      </c>
      <c r="J132" s="89">
        <v>501</v>
      </c>
      <c r="K132" s="89">
        <v>1003</v>
      </c>
      <c r="L132" s="93">
        <f>SUBTOTAL(9,M132:N132)</f>
        <v>1405</v>
      </c>
      <c r="M132" s="89">
        <v>468</v>
      </c>
      <c r="N132" s="93">
        <v>937</v>
      </c>
      <c r="O132" s="58">
        <f t="shared" si="2"/>
        <v>33</v>
      </c>
      <c r="P132" s="58">
        <f t="shared" si="3"/>
        <v>66</v>
      </c>
      <c r="Q132" s="98">
        <v>92.7</v>
      </c>
      <c r="R132" s="99" t="s">
        <v>491</v>
      </c>
      <c r="S132" s="79" t="s">
        <v>37</v>
      </c>
      <c r="T132" s="40"/>
      <c r="U132" s="40"/>
      <c r="W132" s="100" t="s">
        <v>492</v>
      </c>
    </row>
    <row r="133" s="3" customFormat="1" ht="89" customHeight="1" spans="1:21">
      <c r="A133" s="39">
        <v>126</v>
      </c>
      <c r="B133" s="40" t="s">
        <v>495</v>
      </c>
      <c r="C133" s="14" t="s">
        <v>488</v>
      </c>
      <c r="D133" s="14" t="s">
        <v>496</v>
      </c>
      <c r="E133" s="14" t="s">
        <v>34</v>
      </c>
      <c r="F133" s="41" t="s">
        <v>497</v>
      </c>
      <c r="G133" s="15">
        <v>45962</v>
      </c>
      <c r="H133" s="43">
        <v>46631</v>
      </c>
      <c r="I133" s="62">
        <v>1788</v>
      </c>
      <c r="J133" s="94">
        <v>595.860502512563</v>
      </c>
      <c r="K133" s="62">
        <v>1192</v>
      </c>
      <c r="L133" s="57">
        <v>1605</v>
      </c>
      <c r="M133" s="57">
        <v>535</v>
      </c>
      <c r="N133" s="57">
        <v>1070</v>
      </c>
      <c r="O133" s="58">
        <f t="shared" si="2"/>
        <v>60.860502512563</v>
      </c>
      <c r="P133" s="58">
        <f t="shared" si="3"/>
        <v>122</v>
      </c>
      <c r="Q133" s="74">
        <v>89.17</v>
      </c>
      <c r="R133" s="101" t="s">
        <v>111</v>
      </c>
      <c r="S133" s="24" t="s">
        <v>37</v>
      </c>
      <c r="T133" s="40"/>
      <c r="U133" s="40" t="s">
        <v>498</v>
      </c>
    </row>
    <row r="134" s="3" customFormat="1" ht="89" customHeight="1" spans="1:21">
      <c r="A134" s="39">
        <v>127</v>
      </c>
      <c r="B134" s="40" t="s">
        <v>499</v>
      </c>
      <c r="C134" s="14" t="s">
        <v>488</v>
      </c>
      <c r="D134" s="14" t="s">
        <v>500</v>
      </c>
      <c r="E134" s="14" t="s">
        <v>34</v>
      </c>
      <c r="F134" s="41" t="s">
        <v>501</v>
      </c>
      <c r="G134" s="15">
        <v>45962</v>
      </c>
      <c r="H134" s="43">
        <v>46661</v>
      </c>
      <c r="I134" s="56">
        <v>1785</v>
      </c>
      <c r="J134" s="56">
        <v>595</v>
      </c>
      <c r="K134" s="56">
        <v>1190</v>
      </c>
      <c r="L134" s="57">
        <v>1536</v>
      </c>
      <c r="M134" s="57">
        <v>512</v>
      </c>
      <c r="N134" s="57">
        <v>1024</v>
      </c>
      <c r="O134" s="58">
        <f t="shared" ref="O134:O142" si="5">J134-M134</f>
        <v>83</v>
      </c>
      <c r="P134" s="58">
        <f t="shared" ref="P134:P142" si="6">K134-N134</f>
        <v>166</v>
      </c>
      <c r="Q134" s="74">
        <v>88.42</v>
      </c>
      <c r="R134" s="101" t="s">
        <v>111</v>
      </c>
      <c r="S134" s="24" t="s">
        <v>37</v>
      </c>
      <c r="T134" s="40"/>
      <c r="U134" s="40" t="s">
        <v>502</v>
      </c>
    </row>
    <row r="135" s="3" customFormat="1" ht="89" customHeight="1" spans="1:21">
      <c r="A135" s="39">
        <v>128</v>
      </c>
      <c r="B135" s="40" t="s">
        <v>503</v>
      </c>
      <c r="C135" s="14" t="s">
        <v>488</v>
      </c>
      <c r="D135" s="14" t="s">
        <v>504</v>
      </c>
      <c r="E135" s="14" t="s">
        <v>34</v>
      </c>
      <c r="F135" s="41" t="s">
        <v>505</v>
      </c>
      <c r="G135" s="15">
        <v>45962</v>
      </c>
      <c r="H135" s="43">
        <v>46631</v>
      </c>
      <c r="I135" s="56">
        <v>1680</v>
      </c>
      <c r="J135" s="56">
        <v>560</v>
      </c>
      <c r="K135" s="56">
        <v>1120</v>
      </c>
      <c r="L135" s="57">
        <f>SUBTOTAL(9,M135:N135)</f>
        <v>1611</v>
      </c>
      <c r="M135" s="57">
        <f>437+100</f>
        <v>537</v>
      </c>
      <c r="N135" s="57">
        <v>1074</v>
      </c>
      <c r="O135" s="58">
        <f t="shared" si="5"/>
        <v>23</v>
      </c>
      <c r="P135" s="58">
        <f t="shared" si="6"/>
        <v>46</v>
      </c>
      <c r="Q135" s="74">
        <v>87.84</v>
      </c>
      <c r="R135" s="101" t="s">
        <v>111</v>
      </c>
      <c r="S135" s="24" t="s">
        <v>37</v>
      </c>
      <c r="T135" s="40"/>
      <c r="U135" s="40" t="s">
        <v>506</v>
      </c>
    </row>
    <row r="136" s="3" customFormat="1" ht="89" customHeight="1" spans="1:21">
      <c r="A136" s="39">
        <v>129</v>
      </c>
      <c r="B136" s="40" t="s">
        <v>507</v>
      </c>
      <c r="C136" s="14" t="s">
        <v>488</v>
      </c>
      <c r="D136" s="14" t="s">
        <v>504</v>
      </c>
      <c r="E136" s="14" t="s">
        <v>34</v>
      </c>
      <c r="F136" s="41" t="s">
        <v>508</v>
      </c>
      <c r="G136" s="15">
        <v>45962</v>
      </c>
      <c r="H136" s="43">
        <v>46722</v>
      </c>
      <c r="I136" s="56">
        <v>1740</v>
      </c>
      <c r="J136" s="56">
        <v>580</v>
      </c>
      <c r="K136" s="56">
        <v>1160</v>
      </c>
      <c r="L136" s="57">
        <v>1467</v>
      </c>
      <c r="M136" s="57">
        <v>489</v>
      </c>
      <c r="N136" s="57">
        <v>978</v>
      </c>
      <c r="O136" s="58">
        <f t="shared" si="5"/>
        <v>91</v>
      </c>
      <c r="P136" s="58">
        <f t="shared" si="6"/>
        <v>182</v>
      </c>
      <c r="Q136" s="74">
        <v>86.84</v>
      </c>
      <c r="R136" s="101" t="s">
        <v>111</v>
      </c>
      <c r="S136" s="24" t="s">
        <v>37</v>
      </c>
      <c r="T136" s="40"/>
      <c r="U136" s="40" t="s">
        <v>509</v>
      </c>
    </row>
    <row r="137" s="3" customFormat="1" ht="89" customHeight="1" spans="1:21">
      <c r="A137" s="39">
        <v>130</v>
      </c>
      <c r="B137" s="40" t="s">
        <v>510</v>
      </c>
      <c r="C137" s="14" t="s">
        <v>488</v>
      </c>
      <c r="D137" s="14" t="s">
        <v>500</v>
      </c>
      <c r="E137" s="14" t="s">
        <v>34</v>
      </c>
      <c r="F137" s="41" t="s">
        <v>511</v>
      </c>
      <c r="G137" s="15">
        <v>45962</v>
      </c>
      <c r="H137" s="43">
        <v>46692</v>
      </c>
      <c r="I137" s="56">
        <v>1770</v>
      </c>
      <c r="J137" s="56">
        <v>590</v>
      </c>
      <c r="K137" s="56">
        <v>1180</v>
      </c>
      <c r="L137" s="57">
        <v>1437</v>
      </c>
      <c r="M137" s="57">
        <v>479</v>
      </c>
      <c r="N137" s="57">
        <v>958</v>
      </c>
      <c r="O137" s="58">
        <f t="shared" si="5"/>
        <v>111</v>
      </c>
      <c r="P137" s="58">
        <f t="shared" si="6"/>
        <v>222</v>
      </c>
      <c r="Q137" s="74">
        <v>86</v>
      </c>
      <c r="R137" s="101" t="s">
        <v>127</v>
      </c>
      <c r="S137" s="24" t="s">
        <v>37</v>
      </c>
      <c r="T137" s="40"/>
      <c r="U137" s="40" t="s">
        <v>512</v>
      </c>
    </row>
    <row r="138" s="3" customFormat="1" ht="89" customHeight="1" spans="1:21">
      <c r="A138" s="39">
        <v>131</v>
      </c>
      <c r="B138" s="40" t="s">
        <v>513</v>
      </c>
      <c r="C138" s="14" t="s">
        <v>488</v>
      </c>
      <c r="D138" s="14" t="s">
        <v>496</v>
      </c>
      <c r="E138" s="14" t="s">
        <v>34</v>
      </c>
      <c r="F138" s="41" t="s">
        <v>514</v>
      </c>
      <c r="G138" s="15">
        <v>45962</v>
      </c>
      <c r="H138" s="43">
        <v>46692</v>
      </c>
      <c r="I138" s="56">
        <v>1755</v>
      </c>
      <c r="J138" s="56">
        <v>585</v>
      </c>
      <c r="K138" s="56">
        <v>1170</v>
      </c>
      <c r="L138" s="57">
        <v>1383</v>
      </c>
      <c r="M138" s="57">
        <v>461</v>
      </c>
      <c r="N138" s="57">
        <v>922</v>
      </c>
      <c r="O138" s="58">
        <f t="shared" si="5"/>
        <v>124</v>
      </c>
      <c r="P138" s="58">
        <f t="shared" si="6"/>
        <v>248</v>
      </c>
      <c r="Q138" s="74">
        <v>84.92</v>
      </c>
      <c r="R138" s="101" t="s">
        <v>122</v>
      </c>
      <c r="S138" s="24" t="s">
        <v>37</v>
      </c>
      <c r="T138" s="40"/>
      <c r="U138" s="40" t="s">
        <v>515</v>
      </c>
    </row>
    <row r="139" s="3" customFormat="1" ht="89" customHeight="1" spans="1:21">
      <c r="A139" s="39">
        <v>132</v>
      </c>
      <c r="B139" s="40" t="s">
        <v>516</v>
      </c>
      <c r="C139" s="14" t="s">
        <v>488</v>
      </c>
      <c r="D139" s="14" t="s">
        <v>500</v>
      </c>
      <c r="E139" s="14" t="s">
        <v>34</v>
      </c>
      <c r="F139" s="41" t="s">
        <v>517</v>
      </c>
      <c r="G139" s="15">
        <v>45962</v>
      </c>
      <c r="H139" s="43">
        <v>46692</v>
      </c>
      <c r="I139" s="56">
        <v>1755</v>
      </c>
      <c r="J139" s="56">
        <v>585</v>
      </c>
      <c r="K139" s="56">
        <v>1170</v>
      </c>
      <c r="L139" s="57">
        <v>1281</v>
      </c>
      <c r="M139" s="57">
        <v>427</v>
      </c>
      <c r="N139" s="57">
        <v>854</v>
      </c>
      <c r="O139" s="58">
        <f t="shared" si="5"/>
        <v>158</v>
      </c>
      <c r="P139" s="58">
        <f t="shared" si="6"/>
        <v>316</v>
      </c>
      <c r="Q139" s="74">
        <v>84.75</v>
      </c>
      <c r="R139" s="101" t="s">
        <v>111</v>
      </c>
      <c r="S139" s="24" t="s">
        <v>37</v>
      </c>
      <c r="T139" s="40"/>
      <c r="U139" s="40" t="s">
        <v>518</v>
      </c>
    </row>
    <row r="140" s="3" customFormat="1" ht="89" customHeight="1" spans="1:21">
      <c r="A140" s="39">
        <v>133</v>
      </c>
      <c r="B140" s="40" t="s">
        <v>519</v>
      </c>
      <c r="C140" s="14" t="s">
        <v>488</v>
      </c>
      <c r="D140" s="14" t="s">
        <v>500</v>
      </c>
      <c r="E140" s="14" t="s">
        <v>34</v>
      </c>
      <c r="F140" s="41" t="s">
        <v>520</v>
      </c>
      <c r="G140" s="15">
        <v>45962</v>
      </c>
      <c r="H140" s="43">
        <v>46661</v>
      </c>
      <c r="I140" s="56">
        <v>1770</v>
      </c>
      <c r="J140" s="56">
        <v>590</v>
      </c>
      <c r="K140" s="56">
        <v>1180</v>
      </c>
      <c r="L140" s="57">
        <v>1461</v>
      </c>
      <c r="M140" s="57">
        <v>487</v>
      </c>
      <c r="N140" s="57">
        <v>974</v>
      </c>
      <c r="O140" s="58">
        <f t="shared" si="5"/>
        <v>103</v>
      </c>
      <c r="P140" s="58">
        <f t="shared" si="6"/>
        <v>206</v>
      </c>
      <c r="Q140" s="74">
        <v>84.25</v>
      </c>
      <c r="R140" s="101" t="s">
        <v>122</v>
      </c>
      <c r="S140" s="24" t="s">
        <v>37</v>
      </c>
      <c r="T140" s="40"/>
      <c r="U140" s="40" t="s">
        <v>521</v>
      </c>
    </row>
    <row r="141" s="3" customFormat="1" ht="89" customHeight="1" spans="1:21">
      <c r="A141" s="39">
        <v>134</v>
      </c>
      <c r="B141" s="40" t="s">
        <v>522</v>
      </c>
      <c r="C141" s="14" t="s">
        <v>488</v>
      </c>
      <c r="D141" s="14" t="s">
        <v>504</v>
      </c>
      <c r="E141" s="14" t="s">
        <v>34</v>
      </c>
      <c r="F141" s="41" t="s">
        <v>523</v>
      </c>
      <c r="G141" s="15">
        <v>45962</v>
      </c>
      <c r="H141" s="43">
        <v>46692</v>
      </c>
      <c r="I141" s="56">
        <v>1764</v>
      </c>
      <c r="J141" s="56">
        <v>588</v>
      </c>
      <c r="K141" s="56">
        <v>1176</v>
      </c>
      <c r="L141" s="57">
        <v>1455</v>
      </c>
      <c r="M141" s="57">
        <v>485</v>
      </c>
      <c r="N141" s="57">
        <v>970</v>
      </c>
      <c r="O141" s="58">
        <f t="shared" si="5"/>
        <v>103</v>
      </c>
      <c r="P141" s="58">
        <f t="shared" si="6"/>
        <v>206</v>
      </c>
      <c r="Q141" s="74">
        <v>84.17</v>
      </c>
      <c r="R141" s="101" t="s">
        <v>122</v>
      </c>
      <c r="S141" s="24" t="s">
        <v>37</v>
      </c>
      <c r="T141" s="40"/>
      <c r="U141" s="40" t="s">
        <v>524</v>
      </c>
    </row>
    <row r="142" s="3" customFormat="1" ht="89" customHeight="1" spans="1:21">
      <c r="A142" s="39">
        <v>137</v>
      </c>
      <c r="B142" s="40" t="s">
        <v>525</v>
      </c>
      <c r="C142" s="14" t="s">
        <v>488</v>
      </c>
      <c r="D142" s="14" t="s">
        <v>496</v>
      </c>
      <c r="E142" s="14" t="s">
        <v>34</v>
      </c>
      <c r="F142" s="41" t="s">
        <v>526</v>
      </c>
      <c r="G142" s="15">
        <v>45962</v>
      </c>
      <c r="H142" s="43">
        <v>47027</v>
      </c>
      <c r="I142" s="56">
        <v>1788</v>
      </c>
      <c r="J142" s="56">
        <v>596</v>
      </c>
      <c r="K142" s="56">
        <v>1192</v>
      </c>
      <c r="L142" s="57">
        <v>1341</v>
      </c>
      <c r="M142" s="57">
        <v>447</v>
      </c>
      <c r="N142" s="57">
        <v>894</v>
      </c>
      <c r="O142" s="58">
        <f t="shared" si="5"/>
        <v>149</v>
      </c>
      <c r="P142" s="58">
        <f t="shared" si="6"/>
        <v>298</v>
      </c>
      <c r="Q142" s="74">
        <v>82.25</v>
      </c>
      <c r="R142" s="101" t="s">
        <v>127</v>
      </c>
      <c r="S142" s="91" t="s">
        <v>100</v>
      </c>
      <c r="T142" s="80" t="s">
        <v>101</v>
      </c>
      <c r="U142" s="40" t="s">
        <v>527</v>
      </c>
    </row>
    <row r="143" customHeight="1" spans="10:16">
      <c r="J143" s="95" t="s">
        <v>528</v>
      </c>
      <c r="K143" s="95"/>
      <c r="L143" s="96">
        <v>243958</v>
      </c>
      <c r="M143" s="96">
        <v>91078</v>
      </c>
      <c r="N143" s="96">
        <v>152880</v>
      </c>
      <c r="O143" s="97" t="e">
        <f>#REF!-M143</f>
        <v>#REF!</v>
      </c>
      <c r="P143" s="97" t="e">
        <f>J143-N143</f>
        <v>#VALUE!</v>
      </c>
    </row>
  </sheetData>
  <autoFilter ref="A4:U143">
    <extLst/>
  </autoFilter>
  <mergeCells count="6">
    <mergeCell ref="A2:T2"/>
    <mergeCell ref="C5:D5"/>
    <mergeCell ref="I5:K5"/>
    <mergeCell ref="L5:N5"/>
    <mergeCell ref="Q5:T5"/>
    <mergeCell ref="J143:K143"/>
  </mergeCells>
  <conditionalFormatting sqref="B1 B3:B4 B142:B65536">
    <cfRule type="duplicateValues" dxfId="0" priority="3"/>
  </conditionalFormatting>
  <pageMargins left="0.503472222222222" right="0.503472222222222" top="0.554861111111111" bottom="0.554861111111111" header="0.298611111111111" footer="0.298611111111111"/>
  <pageSetup paperSize="8" scale="51"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J115"/>
  <sheetViews>
    <sheetView workbookViewId="0">
      <selection activeCell="G115" sqref="G115:I115"/>
    </sheetView>
  </sheetViews>
  <sheetFormatPr defaultColWidth="8.88333333333333" defaultRowHeight="13.5"/>
  <cols>
    <col min="7" max="7" width="14.75" style="4" customWidth="1"/>
    <col min="8" max="8" width="16.9833333333333" style="4" customWidth="1"/>
    <col min="9" max="9" width="14.75" style="4" customWidth="1"/>
    <col min="10" max="10" width="9.80833333333333" style="3"/>
  </cols>
  <sheetData>
    <row r="1" spans="7:9">
      <c r="G1" s="19"/>
      <c r="H1" s="19"/>
      <c r="I1" s="19"/>
    </row>
    <row r="2" ht="28.5" spans="7:10">
      <c r="G2" s="9"/>
      <c r="H2" s="9"/>
      <c r="I2" s="9"/>
      <c r="J2" s="9"/>
    </row>
    <row r="3" ht="20.25" spans="7:9">
      <c r="G3" s="20"/>
      <c r="H3" s="20"/>
      <c r="I3" s="20"/>
    </row>
    <row r="4" ht="42.75" spans="7:10">
      <c r="G4" s="21" t="s">
        <v>13</v>
      </c>
      <c r="H4" s="21" t="s">
        <v>14</v>
      </c>
      <c r="I4" s="21" t="s">
        <v>12</v>
      </c>
      <c r="J4" s="22" t="s">
        <v>17</v>
      </c>
    </row>
    <row r="5" ht="14.25" spans="7:10">
      <c r="G5" s="17">
        <v>2550</v>
      </c>
      <c r="H5" s="17">
        <v>850</v>
      </c>
      <c r="I5" s="17">
        <v>1700</v>
      </c>
      <c r="J5" s="23" t="s">
        <v>37</v>
      </c>
    </row>
    <row r="6" ht="14.25" spans="7:10">
      <c r="G6" s="17">
        <v>2115</v>
      </c>
      <c r="H6" s="17">
        <v>705</v>
      </c>
      <c r="I6" s="17">
        <v>1410</v>
      </c>
      <c r="J6" s="24" t="s">
        <v>37</v>
      </c>
    </row>
    <row r="7" ht="14.25" spans="7:10">
      <c r="G7" s="17">
        <v>1781</v>
      </c>
      <c r="H7" s="17">
        <v>560</v>
      </c>
      <c r="I7" s="17">
        <v>1221</v>
      </c>
      <c r="J7" s="24" t="s">
        <v>37</v>
      </c>
    </row>
    <row r="8" ht="14.25" spans="7:10">
      <c r="G8" s="17">
        <f>SUBTOTAL(9,H8:I8)</f>
        <v>2610</v>
      </c>
      <c r="H8" s="17">
        <v>870</v>
      </c>
      <c r="I8" s="17">
        <v>1740</v>
      </c>
      <c r="J8" s="24" t="s">
        <v>37</v>
      </c>
    </row>
    <row r="9" ht="14.25" spans="7:10">
      <c r="G9" s="17">
        <v>2160</v>
      </c>
      <c r="H9" s="17">
        <v>720</v>
      </c>
      <c r="I9" s="17">
        <v>1440</v>
      </c>
      <c r="J9" s="24" t="s">
        <v>37</v>
      </c>
    </row>
    <row r="10" ht="14.25" spans="7:10">
      <c r="G10" s="17">
        <v>1665</v>
      </c>
      <c r="H10" s="17">
        <v>555</v>
      </c>
      <c r="I10" s="17">
        <v>1110</v>
      </c>
      <c r="J10" s="24" t="s">
        <v>37</v>
      </c>
    </row>
    <row r="11" ht="14.25" spans="7:10">
      <c r="G11" s="17">
        <f>SUBTOTAL(9,H11:I11)</f>
        <v>2940</v>
      </c>
      <c r="H11" s="17">
        <f>1180-200</f>
        <v>980</v>
      </c>
      <c r="I11" s="17">
        <v>1960</v>
      </c>
      <c r="J11" s="24" t="s">
        <v>37</v>
      </c>
    </row>
    <row r="12" ht="14.25" spans="7:10">
      <c r="G12" s="17">
        <v>2100</v>
      </c>
      <c r="H12" s="17">
        <v>700</v>
      </c>
      <c r="I12" s="17">
        <v>1400</v>
      </c>
      <c r="J12" s="24" t="s">
        <v>37</v>
      </c>
    </row>
    <row r="13" ht="14.25" spans="7:10">
      <c r="G13" s="17">
        <v>1479</v>
      </c>
      <c r="H13" s="17">
        <v>493</v>
      </c>
      <c r="I13" s="17">
        <v>986</v>
      </c>
      <c r="J13" s="24" t="s">
        <v>37</v>
      </c>
    </row>
    <row r="14" ht="14.25" spans="7:10">
      <c r="G14" s="17">
        <v>2070</v>
      </c>
      <c r="H14" s="17">
        <v>690</v>
      </c>
      <c r="I14" s="17">
        <v>1380</v>
      </c>
      <c r="J14" s="24" t="s">
        <v>37</v>
      </c>
    </row>
    <row r="15" ht="14.25" spans="7:10">
      <c r="G15" s="17">
        <v>2145</v>
      </c>
      <c r="H15" s="17">
        <v>715</v>
      </c>
      <c r="I15" s="17">
        <v>1430</v>
      </c>
      <c r="J15" s="24" t="s">
        <v>37</v>
      </c>
    </row>
    <row r="16" ht="14.25" spans="7:10">
      <c r="G16" s="17">
        <v>2136</v>
      </c>
      <c r="H16" s="17">
        <v>700</v>
      </c>
      <c r="I16" s="17">
        <v>1436</v>
      </c>
      <c r="J16" s="24" t="s">
        <v>37</v>
      </c>
    </row>
    <row r="17" ht="14.25" spans="7:10">
      <c r="G17" s="17">
        <v>2151</v>
      </c>
      <c r="H17" s="17">
        <v>717</v>
      </c>
      <c r="I17" s="17">
        <v>1434</v>
      </c>
      <c r="J17" s="24" t="s">
        <v>37</v>
      </c>
    </row>
    <row r="18" ht="14.25" spans="7:10">
      <c r="G18" s="17">
        <v>1125</v>
      </c>
      <c r="H18" s="17">
        <v>375</v>
      </c>
      <c r="I18" s="17">
        <v>750</v>
      </c>
      <c r="J18" s="24" t="s">
        <v>37</v>
      </c>
    </row>
    <row r="19" ht="14.25" spans="7:10">
      <c r="G19" s="17">
        <v>1698</v>
      </c>
      <c r="H19" s="17">
        <v>566</v>
      </c>
      <c r="I19" s="17">
        <v>1132</v>
      </c>
      <c r="J19" s="24" t="s">
        <v>37</v>
      </c>
    </row>
    <row r="20" ht="14.25" spans="7:10">
      <c r="G20" s="17">
        <v>2160</v>
      </c>
      <c r="H20" s="17">
        <v>720</v>
      </c>
      <c r="I20" s="17">
        <v>1440</v>
      </c>
      <c r="J20" s="24" t="s">
        <v>37</v>
      </c>
    </row>
    <row r="21" ht="14.25" spans="7:10">
      <c r="G21" s="17">
        <v>2190</v>
      </c>
      <c r="H21" s="17">
        <v>730</v>
      </c>
      <c r="I21" s="17">
        <v>1460</v>
      </c>
      <c r="J21" s="24" t="s">
        <v>37</v>
      </c>
    </row>
    <row r="22" ht="14.25" spans="7:10">
      <c r="G22" s="17">
        <f>SUBTOTAL(9,H22:I22)</f>
        <v>2556</v>
      </c>
      <c r="H22" s="17">
        <f>902-50</f>
        <v>852</v>
      </c>
      <c r="I22" s="17">
        <v>1704</v>
      </c>
      <c r="J22" s="24" t="s">
        <v>37</v>
      </c>
    </row>
    <row r="23" ht="14.25" spans="7:10">
      <c r="G23" s="17">
        <f>SUBTOTAL(9,H23:I23)</f>
        <v>2625</v>
      </c>
      <c r="H23" s="17">
        <f>925-50</f>
        <v>875</v>
      </c>
      <c r="I23" s="17">
        <v>1750</v>
      </c>
      <c r="J23" s="24" t="s">
        <v>37</v>
      </c>
    </row>
    <row r="24" ht="14.25" spans="7:10">
      <c r="G24" s="17">
        <v>1926</v>
      </c>
      <c r="H24" s="17">
        <v>642</v>
      </c>
      <c r="I24" s="17">
        <v>1284</v>
      </c>
      <c r="J24" s="24" t="s">
        <v>37</v>
      </c>
    </row>
    <row r="25" ht="14.25" spans="7:10">
      <c r="G25" s="17">
        <v>2643</v>
      </c>
      <c r="H25" s="17">
        <v>881</v>
      </c>
      <c r="I25" s="17">
        <v>1762</v>
      </c>
      <c r="J25" s="24" t="s">
        <v>37</v>
      </c>
    </row>
    <row r="26" ht="14.25" spans="7:10">
      <c r="G26" s="17">
        <f>SUBTOTAL(9,H26:I26)</f>
        <v>3165</v>
      </c>
      <c r="H26" s="17">
        <f>1155-100</f>
        <v>1055</v>
      </c>
      <c r="I26" s="17">
        <v>2110</v>
      </c>
      <c r="J26" s="24" t="s">
        <v>37</v>
      </c>
    </row>
    <row r="27" ht="14.25" spans="7:10">
      <c r="G27" s="17">
        <v>2628</v>
      </c>
      <c r="H27" s="17">
        <v>876</v>
      </c>
      <c r="I27" s="17">
        <v>1752</v>
      </c>
      <c r="J27" s="24" t="s">
        <v>37</v>
      </c>
    </row>
    <row r="28" ht="14.25" spans="7:10">
      <c r="G28" s="17">
        <v>2580</v>
      </c>
      <c r="H28" s="17">
        <v>860</v>
      </c>
      <c r="I28" s="17">
        <v>1720</v>
      </c>
      <c r="J28" s="24" t="s">
        <v>37</v>
      </c>
    </row>
    <row r="29" ht="14.25" spans="7:10">
      <c r="G29" s="17">
        <v>2262</v>
      </c>
      <c r="H29" s="17">
        <v>754</v>
      </c>
      <c r="I29" s="17">
        <v>1508</v>
      </c>
      <c r="J29" s="24" t="s">
        <v>37</v>
      </c>
    </row>
    <row r="30" ht="14.25" spans="7:10">
      <c r="G30" s="17">
        <v>2601</v>
      </c>
      <c r="H30" s="17">
        <v>867</v>
      </c>
      <c r="I30" s="17">
        <v>1734</v>
      </c>
      <c r="J30" s="24" t="s">
        <v>37</v>
      </c>
    </row>
    <row r="31" ht="14.25" spans="7:10">
      <c r="G31" s="17">
        <v>2556</v>
      </c>
      <c r="H31" s="17">
        <v>852</v>
      </c>
      <c r="I31" s="17">
        <v>1704</v>
      </c>
      <c r="J31" s="24" t="s">
        <v>37</v>
      </c>
    </row>
    <row r="32" ht="14.25" spans="7:10">
      <c r="G32" s="17">
        <v>2655</v>
      </c>
      <c r="H32" s="17">
        <v>885</v>
      </c>
      <c r="I32" s="17">
        <v>1770</v>
      </c>
      <c r="J32" s="24" t="s">
        <v>37</v>
      </c>
    </row>
    <row r="33" ht="14.25" spans="7:10">
      <c r="G33" s="17">
        <v>2088</v>
      </c>
      <c r="H33" s="17">
        <v>696</v>
      </c>
      <c r="I33" s="17">
        <v>1392</v>
      </c>
      <c r="J33" s="24" t="s">
        <v>37</v>
      </c>
    </row>
    <row r="34" ht="14.25" spans="7:10">
      <c r="G34" s="17">
        <v>1730</v>
      </c>
      <c r="H34" s="17">
        <v>561</v>
      </c>
      <c r="I34" s="17">
        <v>1169</v>
      </c>
      <c r="J34" s="24" t="s">
        <v>37</v>
      </c>
    </row>
    <row r="35" ht="14.25" spans="7:10">
      <c r="G35" s="17">
        <v>2499</v>
      </c>
      <c r="H35" s="17">
        <v>833</v>
      </c>
      <c r="I35" s="17">
        <v>1666</v>
      </c>
      <c r="J35" s="24" t="s">
        <v>37</v>
      </c>
    </row>
    <row r="36" ht="14.25" spans="7:10">
      <c r="G36" s="17">
        <v>1674</v>
      </c>
      <c r="H36" s="17">
        <v>558</v>
      </c>
      <c r="I36" s="17">
        <v>1116</v>
      </c>
      <c r="J36" s="24" t="s">
        <v>37</v>
      </c>
    </row>
    <row r="37" ht="14.25" spans="7:10">
      <c r="G37" s="17">
        <f>SUBTOTAL(9,H37:I37)</f>
        <v>1995</v>
      </c>
      <c r="H37" s="17">
        <f>595+70</f>
        <v>665</v>
      </c>
      <c r="I37" s="17">
        <v>1330</v>
      </c>
      <c r="J37" s="24" t="s">
        <v>37</v>
      </c>
    </row>
    <row r="38" ht="14.25" spans="7:10">
      <c r="G38" s="17">
        <f>SUBTOTAL(9,H38:I38)</f>
        <v>1698</v>
      </c>
      <c r="H38" s="17">
        <f>546+20</f>
        <v>566</v>
      </c>
      <c r="I38" s="17">
        <v>1132</v>
      </c>
      <c r="J38" s="24" t="s">
        <v>37</v>
      </c>
    </row>
    <row r="39" ht="14.25" spans="7:10">
      <c r="G39" s="17">
        <v>1788</v>
      </c>
      <c r="H39" s="17">
        <v>596</v>
      </c>
      <c r="I39" s="17">
        <v>1192</v>
      </c>
      <c r="J39" s="24" t="s">
        <v>37</v>
      </c>
    </row>
    <row r="40" ht="14.25" spans="7:10">
      <c r="G40" s="17">
        <v>2133</v>
      </c>
      <c r="H40" s="17">
        <v>720</v>
      </c>
      <c r="I40" s="17">
        <v>1413</v>
      </c>
      <c r="J40" s="24" t="s">
        <v>37</v>
      </c>
    </row>
    <row r="41" ht="14.25" spans="7:10">
      <c r="G41" s="17">
        <v>2247</v>
      </c>
      <c r="H41" s="17">
        <v>749</v>
      </c>
      <c r="I41" s="17">
        <v>1498</v>
      </c>
      <c r="J41" s="24" t="s">
        <v>37</v>
      </c>
    </row>
    <row r="42" ht="14.25" spans="7:10">
      <c r="G42" s="17">
        <f>SUBTOTAL(9,H42:I42)</f>
        <v>2246</v>
      </c>
      <c r="H42" s="17">
        <f>895+20</f>
        <v>915</v>
      </c>
      <c r="I42" s="17">
        <v>1331</v>
      </c>
      <c r="J42" s="24" t="s">
        <v>37</v>
      </c>
    </row>
    <row r="43" ht="14.25" spans="7:10">
      <c r="G43" s="17">
        <v>2070</v>
      </c>
      <c r="H43" s="17">
        <v>690</v>
      </c>
      <c r="I43" s="17">
        <v>1380</v>
      </c>
      <c r="J43" s="24" t="s">
        <v>37</v>
      </c>
    </row>
    <row r="44" ht="14.25" spans="7:10">
      <c r="G44" s="17">
        <v>1710</v>
      </c>
      <c r="H44" s="17">
        <v>570</v>
      </c>
      <c r="I44" s="17">
        <v>1140</v>
      </c>
      <c r="J44" s="24" t="s">
        <v>37</v>
      </c>
    </row>
    <row r="45" ht="14.25" spans="7:10">
      <c r="G45" s="17">
        <v>1603</v>
      </c>
      <c r="H45" s="17">
        <v>625</v>
      </c>
      <c r="I45" s="17">
        <v>978</v>
      </c>
      <c r="J45" s="24" t="s">
        <v>37</v>
      </c>
    </row>
    <row r="46" ht="14.25" spans="7:10">
      <c r="G46" s="17">
        <v>1890</v>
      </c>
      <c r="H46" s="17">
        <v>630</v>
      </c>
      <c r="I46" s="17">
        <v>1260</v>
      </c>
      <c r="J46" s="24" t="s">
        <v>37</v>
      </c>
    </row>
    <row r="47" ht="14.25" spans="7:10">
      <c r="G47" s="17">
        <v>1533</v>
      </c>
      <c r="H47" s="17">
        <v>511</v>
      </c>
      <c r="I47" s="17">
        <v>1022</v>
      </c>
      <c r="J47" s="24" t="s">
        <v>37</v>
      </c>
    </row>
    <row r="48" ht="14.25" spans="7:10">
      <c r="G48" s="17">
        <v>2310</v>
      </c>
      <c r="H48" s="17">
        <v>770</v>
      </c>
      <c r="I48" s="17">
        <v>1540</v>
      </c>
      <c r="J48" s="24" t="s">
        <v>37</v>
      </c>
    </row>
    <row r="49" ht="14.25" spans="7:10">
      <c r="G49" s="17">
        <v>1860</v>
      </c>
      <c r="H49" s="17">
        <v>620</v>
      </c>
      <c r="I49" s="17">
        <v>1240</v>
      </c>
      <c r="J49" s="24" t="s">
        <v>37</v>
      </c>
    </row>
    <row r="50" ht="14.25" spans="7:10">
      <c r="G50" s="17">
        <v>1860</v>
      </c>
      <c r="H50" s="17">
        <v>620</v>
      </c>
      <c r="I50" s="17">
        <v>1240</v>
      </c>
      <c r="J50" s="24" t="s">
        <v>37</v>
      </c>
    </row>
    <row r="51" ht="14.25" spans="7:10">
      <c r="G51" s="17">
        <v>1860</v>
      </c>
      <c r="H51" s="17">
        <v>620</v>
      </c>
      <c r="I51" s="17">
        <v>1240</v>
      </c>
      <c r="J51" s="24" t="s">
        <v>37</v>
      </c>
    </row>
    <row r="52" ht="14.25" spans="7:10">
      <c r="G52" s="17">
        <v>1560</v>
      </c>
      <c r="H52" s="17">
        <v>520</v>
      </c>
      <c r="I52" s="17">
        <v>1040</v>
      </c>
      <c r="J52" s="24" t="s">
        <v>37</v>
      </c>
    </row>
    <row r="53" ht="14.25" spans="7:10">
      <c r="G53" s="17">
        <v>2094</v>
      </c>
      <c r="H53" s="17">
        <v>698</v>
      </c>
      <c r="I53" s="17">
        <v>1396</v>
      </c>
      <c r="J53" s="24" t="s">
        <v>37</v>
      </c>
    </row>
    <row r="54" ht="14.25" spans="7:10">
      <c r="G54" s="17">
        <v>1704</v>
      </c>
      <c r="H54" s="17">
        <v>568</v>
      </c>
      <c r="I54" s="17">
        <v>1136</v>
      </c>
      <c r="J54" s="24" t="s">
        <v>37</v>
      </c>
    </row>
    <row r="55" ht="14.25" spans="7:10">
      <c r="G55" s="17">
        <v>1806</v>
      </c>
      <c r="H55" s="17">
        <v>602</v>
      </c>
      <c r="I55" s="17">
        <v>1204</v>
      </c>
      <c r="J55" s="24" t="s">
        <v>37</v>
      </c>
    </row>
    <row r="56" ht="14.25" spans="7:10">
      <c r="G56" s="17">
        <v>1995</v>
      </c>
      <c r="H56" s="17">
        <v>665</v>
      </c>
      <c r="I56" s="17">
        <v>1330</v>
      </c>
      <c r="J56" s="24" t="s">
        <v>37</v>
      </c>
    </row>
    <row r="57" ht="14.25" spans="7:10">
      <c r="G57" s="17">
        <v>2075</v>
      </c>
      <c r="H57" s="17">
        <v>798</v>
      </c>
      <c r="I57" s="17">
        <v>1277</v>
      </c>
      <c r="J57" s="24" t="s">
        <v>37</v>
      </c>
    </row>
    <row r="58" ht="14.25" spans="7:10">
      <c r="G58" s="17">
        <v>1671</v>
      </c>
      <c r="H58" s="17">
        <v>557</v>
      </c>
      <c r="I58" s="17">
        <v>1114</v>
      </c>
      <c r="J58" s="24" t="s">
        <v>37</v>
      </c>
    </row>
    <row r="59" ht="14.25" spans="7:10">
      <c r="G59" s="17">
        <v>2004</v>
      </c>
      <c r="H59" s="17">
        <v>668</v>
      </c>
      <c r="I59" s="17">
        <v>1336</v>
      </c>
      <c r="J59" s="24" t="s">
        <v>37</v>
      </c>
    </row>
    <row r="60" ht="14.25" spans="7:10">
      <c r="G60" s="17">
        <v>2310</v>
      </c>
      <c r="H60" s="17">
        <v>770</v>
      </c>
      <c r="I60" s="17">
        <v>1540</v>
      </c>
      <c r="J60" s="24" t="s">
        <v>37</v>
      </c>
    </row>
    <row r="61" ht="14.25" spans="7:10">
      <c r="G61" s="17">
        <v>2288</v>
      </c>
      <c r="H61" s="17">
        <v>762</v>
      </c>
      <c r="I61" s="17">
        <v>1526</v>
      </c>
      <c r="J61" s="24" t="s">
        <v>37</v>
      </c>
    </row>
    <row r="62" ht="14.25" spans="7:10">
      <c r="G62" s="17">
        <v>2343</v>
      </c>
      <c r="H62" s="17">
        <v>781</v>
      </c>
      <c r="I62" s="17">
        <v>1562</v>
      </c>
      <c r="J62" s="24" t="s">
        <v>37</v>
      </c>
    </row>
    <row r="63" ht="14.25" spans="7:10">
      <c r="G63" s="17">
        <v>2337</v>
      </c>
      <c r="H63" s="17">
        <v>779</v>
      </c>
      <c r="I63" s="17">
        <v>1558</v>
      </c>
      <c r="J63" s="24" t="s">
        <v>37</v>
      </c>
    </row>
    <row r="64" ht="14.25" spans="7:10">
      <c r="G64" s="17">
        <v>2322</v>
      </c>
      <c r="H64" s="17">
        <v>774</v>
      </c>
      <c r="I64" s="17">
        <v>1548</v>
      </c>
      <c r="J64" s="24" t="s">
        <v>37</v>
      </c>
    </row>
    <row r="65" ht="14.25" spans="7:10">
      <c r="G65" s="17">
        <v>4325</v>
      </c>
      <c r="H65" s="17">
        <v>1730</v>
      </c>
      <c r="I65" s="17">
        <v>2595</v>
      </c>
      <c r="J65" s="24" t="s">
        <v>37</v>
      </c>
    </row>
    <row r="66" ht="14.25" spans="7:10">
      <c r="G66" s="17">
        <v>2300</v>
      </c>
      <c r="H66" s="17">
        <v>770</v>
      </c>
      <c r="I66" s="17">
        <v>1530</v>
      </c>
      <c r="J66" s="24" t="s">
        <v>37</v>
      </c>
    </row>
    <row r="67" ht="14.25" spans="7:10">
      <c r="G67" s="17">
        <v>2130</v>
      </c>
      <c r="H67" s="17">
        <v>710</v>
      </c>
      <c r="I67" s="17">
        <v>1420</v>
      </c>
      <c r="J67" s="24" t="s">
        <v>37</v>
      </c>
    </row>
    <row r="68" ht="14.25" spans="7:10">
      <c r="G68" s="17">
        <v>2256</v>
      </c>
      <c r="H68" s="17">
        <v>752</v>
      </c>
      <c r="I68" s="17">
        <v>1504</v>
      </c>
      <c r="J68" s="24" t="s">
        <v>37</v>
      </c>
    </row>
    <row r="69" ht="14.25" spans="7:10">
      <c r="G69" s="17">
        <v>2126</v>
      </c>
      <c r="H69" s="17">
        <v>709</v>
      </c>
      <c r="I69" s="17">
        <v>1417</v>
      </c>
      <c r="J69" s="24" t="s">
        <v>37</v>
      </c>
    </row>
    <row r="70" ht="14.25" spans="7:10">
      <c r="G70" s="17">
        <v>2283</v>
      </c>
      <c r="H70" s="17">
        <v>761</v>
      </c>
      <c r="I70" s="17">
        <v>1522</v>
      </c>
      <c r="J70" s="24" t="s">
        <v>37</v>
      </c>
    </row>
    <row r="71" ht="14.25" spans="7:10">
      <c r="G71" s="17">
        <v>2316</v>
      </c>
      <c r="H71" s="17">
        <v>772</v>
      </c>
      <c r="I71" s="17">
        <v>1544</v>
      </c>
      <c r="J71" s="24" t="s">
        <v>37</v>
      </c>
    </row>
    <row r="72" ht="14.25" spans="7:10">
      <c r="G72" s="17">
        <v>2196</v>
      </c>
      <c r="H72" s="17">
        <v>732</v>
      </c>
      <c r="I72" s="17">
        <v>1464</v>
      </c>
      <c r="J72" s="24" t="s">
        <v>37</v>
      </c>
    </row>
    <row r="73" ht="14.25" spans="7:10">
      <c r="G73" s="17">
        <v>2073</v>
      </c>
      <c r="H73" s="17">
        <v>691</v>
      </c>
      <c r="I73" s="17">
        <v>1382</v>
      </c>
      <c r="J73" s="24" t="s">
        <v>37</v>
      </c>
    </row>
    <row r="74" ht="14.25" spans="7:10">
      <c r="G74" s="17">
        <v>2079</v>
      </c>
      <c r="H74" s="17">
        <v>693</v>
      </c>
      <c r="I74" s="17">
        <v>1386</v>
      </c>
      <c r="J74" s="24" t="s">
        <v>37</v>
      </c>
    </row>
    <row r="75" ht="14.25" spans="7:10">
      <c r="G75" s="17">
        <v>4220</v>
      </c>
      <c r="H75" s="17">
        <v>1055</v>
      </c>
      <c r="I75" s="17">
        <v>3165</v>
      </c>
      <c r="J75" s="24" t="s">
        <v>37</v>
      </c>
    </row>
    <row r="76" ht="14.25" spans="7:10">
      <c r="G76" s="17">
        <f>SUBTOTAL(9,H76:I76)</f>
        <v>3615</v>
      </c>
      <c r="H76" s="17">
        <f>1185+20</f>
        <v>1205</v>
      </c>
      <c r="I76" s="17">
        <v>2410</v>
      </c>
      <c r="J76" s="24" t="s">
        <v>37</v>
      </c>
    </row>
    <row r="77" ht="14.25" spans="7:10">
      <c r="G77" s="17">
        <v>2295</v>
      </c>
      <c r="H77" s="17">
        <v>765</v>
      </c>
      <c r="I77" s="17">
        <v>1530</v>
      </c>
      <c r="J77" s="24" t="s">
        <v>37</v>
      </c>
    </row>
    <row r="78" ht="14.25" spans="7:10">
      <c r="G78" s="17">
        <v>2297</v>
      </c>
      <c r="H78" s="17">
        <v>757</v>
      </c>
      <c r="I78" s="17">
        <v>1540</v>
      </c>
      <c r="J78" s="24" t="s">
        <v>37</v>
      </c>
    </row>
    <row r="79" ht="14.25" spans="7:10">
      <c r="G79" s="17">
        <v>3300</v>
      </c>
      <c r="H79" s="17">
        <v>1100</v>
      </c>
      <c r="I79" s="17">
        <v>2200</v>
      </c>
      <c r="J79" s="24" t="s">
        <v>37</v>
      </c>
    </row>
    <row r="80" ht="14.25" spans="7:10">
      <c r="G80" s="17">
        <v>2070</v>
      </c>
      <c r="H80" s="17">
        <v>668</v>
      </c>
      <c r="I80" s="17">
        <v>1402</v>
      </c>
      <c r="J80" s="24" t="s">
        <v>37</v>
      </c>
    </row>
    <row r="81" ht="14.25" spans="7:10">
      <c r="G81" s="17">
        <v>1698</v>
      </c>
      <c r="H81" s="17">
        <v>566</v>
      </c>
      <c r="I81" s="17">
        <v>1132</v>
      </c>
      <c r="J81" s="24" t="s">
        <v>37</v>
      </c>
    </row>
    <row r="82" ht="14.25" spans="7:10">
      <c r="G82" s="17">
        <v>2256</v>
      </c>
      <c r="H82" s="17">
        <v>752</v>
      </c>
      <c r="I82" s="17">
        <v>1504</v>
      </c>
      <c r="J82" s="24" t="s">
        <v>37</v>
      </c>
    </row>
    <row r="83" ht="14.25" spans="7:10">
      <c r="G83" s="17">
        <f>H83+I83</f>
        <v>4383</v>
      </c>
      <c r="H83" s="17">
        <f>3534+200</f>
        <v>3734</v>
      </c>
      <c r="I83" s="17">
        <v>649</v>
      </c>
      <c r="J83" s="24" t="s">
        <v>37</v>
      </c>
    </row>
    <row r="84" ht="14.25" spans="7:10">
      <c r="G84" s="17">
        <f>H84+I84</f>
        <v>4589</v>
      </c>
      <c r="H84" s="17">
        <v>3918</v>
      </c>
      <c r="I84" s="17">
        <v>671</v>
      </c>
      <c r="J84" s="24" t="s">
        <v>37</v>
      </c>
    </row>
    <row r="85" ht="14.25" spans="7:10">
      <c r="G85" s="17">
        <f>H85+I85</f>
        <v>4511</v>
      </c>
      <c r="H85" s="17">
        <v>3830</v>
      </c>
      <c r="I85" s="17">
        <v>681</v>
      </c>
      <c r="J85" s="24" t="s">
        <v>37</v>
      </c>
    </row>
    <row r="86" ht="14.25" spans="7:10">
      <c r="G86" s="17">
        <v>1994</v>
      </c>
      <c r="H86" s="17">
        <v>668</v>
      </c>
      <c r="I86" s="17">
        <v>1326</v>
      </c>
      <c r="J86" s="24" t="s">
        <v>37</v>
      </c>
    </row>
    <row r="87" ht="14.25" spans="7:10">
      <c r="G87" s="17">
        <f>H87+I87</f>
        <v>4572</v>
      </c>
      <c r="H87" s="17">
        <v>3906</v>
      </c>
      <c r="I87" s="17">
        <v>666</v>
      </c>
      <c r="J87" s="24" t="s">
        <v>37</v>
      </c>
    </row>
    <row r="88" ht="14.25" spans="7:10">
      <c r="G88" s="17">
        <v>2235</v>
      </c>
      <c r="H88" s="17">
        <v>745</v>
      </c>
      <c r="I88" s="17">
        <v>1490</v>
      </c>
      <c r="J88" s="24" t="s">
        <v>37</v>
      </c>
    </row>
    <row r="89" ht="14.25" spans="7:10">
      <c r="G89" s="17">
        <v>2850</v>
      </c>
      <c r="H89" s="17">
        <v>950</v>
      </c>
      <c r="I89" s="17">
        <v>1900</v>
      </c>
      <c r="J89" s="24" t="s">
        <v>37</v>
      </c>
    </row>
    <row r="90" ht="14.25" spans="7:10">
      <c r="G90" s="17">
        <f>SUBTOTAL(9,H90:I90)</f>
        <v>2670</v>
      </c>
      <c r="H90" s="17">
        <f>1150-260</f>
        <v>890</v>
      </c>
      <c r="I90" s="17">
        <v>1780</v>
      </c>
      <c r="J90" s="24" t="s">
        <v>37</v>
      </c>
    </row>
    <row r="91" ht="14.25" spans="7:10">
      <c r="G91" s="17">
        <f>SUBTOTAL(9,H91:I91)</f>
        <v>2220</v>
      </c>
      <c r="H91" s="17">
        <f>894+20</f>
        <v>914</v>
      </c>
      <c r="I91" s="17">
        <v>1306</v>
      </c>
      <c r="J91" s="24" t="s">
        <v>37</v>
      </c>
    </row>
    <row r="92" ht="14.25" spans="7:10">
      <c r="G92" s="17">
        <f>H92+I92</f>
        <v>2634</v>
      </c>
      <c r="H92" s="17">
        <v>878</v>
      </c>
      <c r="I92" s="17">
        <v>1756</v>
      </c>
      <c r="J92" s="24" t="s">
        <v>37</v>
      </c>
    </row>
    <row r="93" ht="14.25" spans="7:10">
      <c r="G93" s="17">
        <f t="shared" ref="G93:G105" si="0">SUBTOTAL(9,H93:I93)</f>
        <v>2262</v>
      </c>
      <c r="H93" s="17">
        <f>904-150</f>
        <v>754</v>
      </c>
      <c r="I93" s="17">
        <v>1508</v>
      </c>
      <c r="J93" s="24" t="s">
        <v>37</v>
      </c>
    </row>
    <row r="94" ht="14.25" spans="7:10">
      <c r="G94" s="17">
        <f t="shared" si="0"/>
        <v>2280</v>
      </c>
      <c r="H94" s="17">
        <f>910-150</f>
        <v>760</v>
      </c>
      <c r="I94" s="17">
        <v>1520</v>
      </c>
      <c r="J94" s="24" t="s">
        <v>37</v>
      </c>
    </row>
    <row r="95" ht="14.25" spans="7:10">
      <c r="G95" s="17">
        <f t="shared" si="0"/>
        <v>2175</v>
      </c>
      <c r="H95" s="17">
        <f>875-150</f>
        <v>725</v>
      </c>
      <c r="I95" s="17">
        <v>1450</v>
      </c>
      <c r="J95" s="24" t="s">
        <v>37</v>
      </c>
    </row>
    <row r="96" ht="14.25" spans="7:10">
      <c r="G96" s="17">
        <f t="shared" si="0"/>
        <v>2299</v>
      </c>
      <c r="H96" s="17">
        <f>928-150</f>
        <v>778</v>
      </c>
      <c r="I96" s="17">
        <v>1521</v>
      </c>
      <c r="J96" s="24" t="s">
        <v>37</v>
      </c>
    </row>
    <row r="97" ht="14.25" spans="7:10">
      <c r="G97" s="17">
        <f t="shared" si="0"/>
        <v>2145</v>
      </c>
      <c r="H97" s="17">
        <f>765-50</f>
        <v>715</v>
      </c>
      <c r="I97" s="17">
        <v>1430</v>
      </c>
      <c r="J97" s="24" t="s">
        <v>37</v>
      </c>
    </row>
    <row r="98" ht="14.25" spans="7:10">
      <c r="G98" s="17">
        <f t="shared" si="0"/>
        <v>2310</v>
      </c>
      <c r="H98" s="17">
        <f>920-150</f>
        <v>770</v>
      </c>
      <c r="I98" s="17">
        <v>1540</v>
      </c>
      <c r="J98" s="24" t="s">
        <v>37</v>
      </c>
    </row>
    <row r="99" ht="14.25" spans="7:10">
      <c r="G99" s="17">
        <f t="shared" si="0"/>
        <v>2226</v>
      </c>
      <c r="H99" s="17">
        <v>746</v>
      </c>
      <c r="I99" s="17">
        <v>1480</v>
      </c>
      <c r="J99" s="24" t="s">
        <v>37</v>
      </c>
    </row>
    <row r="100" ht="14.25" spans="7:10">
      <c r="G100" s="17">
        <f t="shared" si="0"/>
        <v>2190</v>
      </c>
      <c r="H100" s="17">
        <f>880-150</f>
        <v>730</v>
      </c>
      <c r="I100" s="17">
        <v>1460</v>
      </c>
      <c r="J100" s="24" t="s">
        <v>37</v>
      </c>
    </row>
    <row r="101" ht="14.25" spans="7:10">
      <c r="G101" s="17">
        <f t="shared" si="0"/>
        <v>2085</v>
      </c>
      <c r="H101" s="17">
        <f>845-150</f>
        <v>695</v>
      </c>
      <c r="I101" s="17">
        <v>1390</v>
      </c>
      <c r="J101" s="24" t="s">
        <v>37</v>
      </c>
    </row>
    <row r="102" ht="14.25" spans="7:10">
      <c r="G102" s="17">
        <f t="shared" si="0"/>
        <v>2120</v>
      </c>
      <c r="H102" s="17">
        <v>694</v>
      </c>
      <c r="I102" s="17">
        <v>1426</v>
      </c>
      <c r="J102" s="24" t="s">
        <v>37</v>
      </c>
    </row>
    <row r="103" ht="14.25" spans="7:10">
      <c r="G103" s="17">
        <f t="shared" si="0"/>
        <v>2079</v>
      </c>
      <c r="H103" s="17">
        <f>843-150</f>
        <v>693</v>
      </c>
      <c r="I103" s="17">
        <v>1386</v>
      </c>
      <c r="J103" s="24" t="s">
        <v>37</v>
      </c>
    </row>
    <row r="104" ht="14.25" spans="7:10">
      <c r="G104" s="25">
        <f t="shared" si="0"/>
        <v>1938</v>
      </c>
      <c r="H104" s="25">
        <v>635</v>
      </c>
      <c r="I104" s="25">
        <v>1303</v>
      </c>
      <c r="J104" s="24" t="s">
        <v>37</v>
      </c>
    </row>
    <row r="105" ht="14.25" spans="7:10">
      <c r="G105" s="25">
        <f t="shared" si="0"/>
        <v>1405</v>
      </c>
      <c r="H105" s="17">
        <v>468</v>
      </c>
      <c r="I105" s="25">
        <v>937</v>
      </c>
      <c r="J105" s="24" t="s">
        <v>37</v>
      </c>
    </row>
    <row r="106" ht="14.25" spans="7:10">
      <c r="G106" s="17">
        <v>1605</v>
      </c>
      <c r="H106" s="17">
        <v>535</v>
      </c>
      <c r="I106" s="17">
        <v>1070</v>
      </c>
      <c r="J106" s="24" t="s">
        <v>37</v>
      </c>
    </row>
    <row r="107" ht="14.25" spans="7:10">
      <c r="G107" s="17">
        <v>1536</v>
      </c>
      <c r="H107" s="17">
        <v>512</v>
      </c>
      <c r="I107" s="17">
        <v>1024</v>
      </c>
      <c r="J107" s="24" t="s">
        <v>37</v>
      </c>
    </row>
    <row r="108" ht="14.25" spans="7:10">
      <c r="G108" s="17">
        <f>SUBTOTAL(9,H108:I108)</f>
        <v>1611</v>
      </c>
      <c r="H108" s="17">
        <f>437+100</f>
        <v>537</v>
      </c>
      <c r="I108" s="17">
        <v>1074</v>
      </c>
      <c r="J108" s="24" t="s">
        <v>37</v>
      </c>
    </row>
    <row r="109" ht="14.25" spans="7:10">
      <c r="G109" s="17">
        <v>1467</v>
      </c>
      <c r="H109" s="17">
        <v>489</v>
      </c>
      <c r="I109" s="17">
        <v>978</v>
      </c>
      <c r="J109" s="24" t="s">
        <v>37</v>
      </c>
    </row>
    <row r="110" ht="14.25" spans="7:10">
      <c r="G110" s="17">
        <v>1437</v>
      </c>
      <c r="H110" s="17">
        <v>479</v>
      </c>
      <c r="I110" s="17">
        <v>958</v>
      </c>
      <c r="J110" s="24" t="s">
        <v>37</v>
      </c>
    </row>
    <row r="111" ht="14.25" spans="7:10">
      <c r="G111" s="17">
        <v>1383</v>
      </c>
      <c r="H111" s="17">
        <v>461</v>
      </c>
      <c r="I111" s="17">
        <v>922</v>
      </c>
      <c r="J111" s="24" t="s">
        <v>37</v>
      </c>
    </row>
    <row r="112" ht="14.25" spans="7:10">
      <c r="G112" s="17">
        <v>1281</v>
      </c>
      <c r="H112" s="17">
        <v>427</v>
      </c>
      <c r="I112" s="17">
        <v>854</v>
      </c>
      <c r="J112" s="24" t="s">
        <v>37</v>
      </c>
    </row>
    <row r="113" ht="14.25" spans="7:10">
      <c r="G113" s="17">
        <v>1461</v>
      </c>
      <c r="H113" s="17">
        <v>487</v>
      </c>
      <c r="I113" s="17">
        <v>974</v>
      </c>
      <c r="J113" s="24" t="s">
        <v>37</v>
      </c>
    </row>
    <row r="114" ht="14.25" spans="7:10">
      <c r="G114" s="17">
        <v>1455</v>
      </c>
      <c r="H114" s="17">
        <v>485</v>
      </c>
      <c r="I114" s="17">
        <v>970</v>
      </c>
      <c r="J114" s="24" t="s">
        <v>37</v>
      </c>
    </row>
    <row r="115" ht="22.5" spans="7:9">
      <c r="G115" s="26">
        <f>SUM(G5:G114)</f>
        <v>245818</v>
      </c>
      <c r="H115" s="26">
        <f>SUM(H5:H114)</f>
        <v>91698</v>
      </c>
      <c r="I115" s="26">
        <f>SUM(I5:I114)</f>
        <v>154120</v>
      </c>
    </row>
  </sheetData>
  <autoFilter ref="G1:J115">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81"/>
  <sheetViews>
    <sheetView tabSelected="1" zoomScale="55" zoomScaleNormal="55" workbookViewId="0">
      <pane xSplit="4" ySplit="3" topLeftCell="E279" activePane="bottomRight" state="frozen"/>
      <selection/>
      <selection pane="topRight"/>
      <selection pane="bottomLeft"/>
      <selection pane="bottomRight" activeCell="A4" sqref="A4:A281"/>
    </sheetView>
  </sheetViews>
  <sheetFormatPr defaultColWidth="9.80833333333333" defaultRowHeight="135" customHeight="1"/>
  <cols>
    <col min="1" max="1" width="9.63333333333333" style="4" customWidth="1"/>
    <col min="2" max="2" width="44.8083333333333" style="5" customWidth="1"/>
    <col min="3" max="3" width="10.775" style="3" customWidth="1"/>
    <col min="4" max="4" width="9.61666666666667" style="3" customWidth="1"/>
    <col min="5" max="5" width="10.4083333333333" style="3" customWidth="1"/>
    <col min="6" max="6" width="68.0916666666667" style="6" customWidth="1"/>
    <col min="7" max="8" width="12.9166666666667" style="7" customWidth="1"/>
    <col min="9" max="11" width="10.6" style="7" customWidth="1"/>
    <col min="12" max="16384" width="9.80833333333333" style="1"/>
  </cols>
  <sheetData>
    <row r="1" s="1" customFormat="1" ht="41" customHeight="1" spans="1:11">
      <c r="A1" s="8" t="s">
        <v>0</v>
      </c>
      <c r="B1" s="5"/>
      <c r="C1" s="3"/>
      <c r="D1" s="3"/>
      <c r="E1" s="3"/>
      <c r="F1" s="6"/>
      <c r="G1" s="7"/>
      <c r="H1" s="7"/>
      <c r="I1" s="7"/>
      <c r="J1" s="7"/>
      <c r="K1" s="7"/>
    </row>
    <row r="2" s="1" customFormat="1" ht="49" customHeight="1" spans="1:11">
      <c r="A2" s="9" t="s">
        <v>529</v>
      </c>
      <c r="B2" s="9"/>
      <c r="C2" s="9"/>
      <c r="D2" s="9"/>
      <c r="E2" s="9"/>
      <c r="F2" s="9"/>
      <c r="G2" s="9"/>
      <c r="H2" s="9"/>
      <c r="I2" s="9"/>
      <c r="J2" s="9"/>
      <c r="K2" s="9"/>
    </row>
    <row r="3" s="2" customFormat="1" ht="106" customHeight="1" spans="1:11">
      <c r="A3" s="10" t="s">
        <v>2</v>
      </c>
      <c r="B3" s="10" t="s">
        <v>3</v>
      </c>
      <c r="C3" s="11" t="s">
        <v>4</v>
      </c>
      <c r="D3" s="11" t="s">
        <v>5</v>
      </c>
      <c r="E3" s="11" t="s">
        <v>6</v>
      </c>
      <c r="F3" s="11" t="s">
        <v>7</v>
      </c>
      <c r="G3" s="11" t="s">
        <v>8</v>
      </c>
      <c r="H3" s="11" t="s">
        <v>9</v>
      </c>
      <c r="I3" s="11" t="s">
        <v>530</v>
      </c>
      <c r="J3" s="11" t="s">
        <v>14</v>
      </c>
      <c r="K3" s="11" t="s">
        <v>531</v>
      </c>
    </row>
    <row r="4" s="3" customFormat="1" customHeight="1" spans="1:11">
      <c r="A4" s="12" t="s">
        <v>532</v>
      </c>
      <c r="B4" s="13" t="s">
        <v>533</v>
      </c>
      <c r="C4" s="14" t="s">
        <v>32</v>
      </c>
      <c r="D4" s="14" t="s">
        <v>534</v>
      </c>
      <c r="E4" s="14" t="s">
        <v>535</v>
      </c>
      <c r="F4" s="13" t="s">
        <v>536</v>
      </c>
      <c r="G4" s="15">
        <v>46082</v>
      </c>
      <c r="H4" s="15">
        <v>46784</v>
      </c>
      <c r="I4" s="17">
        <v>706</v>
      </c>
      <c r="J4" s="17">
        <v>472</v>
      </c>
      <c r="K4" s="17">
        <v>234</v>
      </c>
    </row>
    <row r="5" s="3" customFormat="1" customHeight="1" spans="1:11">
      <c r="A5" s="12" t="s">
        <v>537</v>
      </c>
      <c r="B5" s="13" t="s">
        <v>538</v>
      </c>
      <c r="C5" s="14" t="s">
        <v>32</v>
      </c>
      <c r="D5" s="14" t="s">
        <v>534</v>
      </c>
      <c r="E5" s="14" t="s">
        <v>535</v>
      </c>
      <c r="F5" s="13" t="s">
        <v>539</v>
      </c>
      <c r="G5" s="15">
        <v>46090</v>
      </c>
      <c r="H5" s="15">
        <v>47150</v>
      </c>
      <c r="I5" s="17">
        <v>1189</v>
      </c>
      <c r="J5" s="17">
        <v>795</v>
      </c>
      <c r="K5" s="17">
        <v>394</v>
      </c>
    </row>
    <row r="6" s="3" customFormat="1" customHeight="1" spans="1:11">
      <c r="A6" s="12" t="s">
        <v>540</v>
      </c>
      <c r="B6" s="13" t="s">
        <v>541</v>
      </c>
      <c r="C6" s="14" t="s">
        <v>32</v>
      </c>
      <c r="D6" s="14" t="s">
        <v>534</v>
      </c>
      <c r="E6" s="14" t="s">
        <v>535</v>
      </c>
      <c r="F6" s="13" t="s">
        <v>542</v>
      </c>
      <c r="G6" s="15">
        <v>46083</v>
      </c>
      <c r="H6" s="15">
        <v>46784</v>
      </c>
      <c r="I6" s="17">
        <v>965</v>
      </c>
      <c r="J6" s="17">
        <v>645</v>
      </c>
      <c r="K6" s="17">
        <v>320</v>
      </c>
    </row>
    <row r="7" s="3" customFormat="1" customHeight="1" spans="1:11">
      <c r="A7" s="12" t="s">
        <v>543</v>
      </c>
      <c r="B7" s="13" t="s">
        <v>544</v>
      </c>
      <c r="C7" s="14" t="s">
        <v>32</v>
      </c>
      <c r="D7" s="14" t="s">
        <v>534</v>
      </c>
      <c r="E7" s="14" t="s">
        <v>535</v>
      </c>
      <c r="F7" s="13" t="s">
        <v>545</v>
      </c>
      <c r="G7" s="15">
        <v>46088</v>
      </c>
      <c r="H7" s="15">
        <v>47150</v>
      </c>
      <c r="I7" s="17">
        <v>869</v>
      </c>
      <c r="J7" s="17">
        <v>581</v>
      </c>
      <c r="K7" s="17">
        <v>288</v>
      </c>
    </row>
    <row r="8" s="3" customFormat="1" customHeight="1" spans="1:11">
      <c r="A8" s="12" t="s">
        <v>546</v>
      </c>
      <c r="B8" s="13" t="s">
        <v>547</v>
      </c>
      <c r="C8" s="14" t="s">
        <v>32</v>
      </c>
      <c r="D8" s="14" t="s">
        <v>534</v>
      </c>
      <c r="E8" s="14" t="s">
        <v>304</v>
      </c>
      <c r="F8" s="13" t="s">
        <v>548</v>
      </c>
      <c r="G8" s="15">
        <v>46084</v>
      </c>
      <c r="H8" s="15">
        <v>47150</v>
      </c>
      <c r="I8" s="17">
        <v>742</v>
      </c>
      <c r="J8" s="17">
        <v>496</v>
      </c>
      <c r="K8" s="17">
        <v>246</v>
      </c>
    </row>
    <row r="9" s="3" customFormat="1" customHeight="1" spans="1:11">
      <c r="A9" s="12" t="s">
        <v>549</v>
      </c>
      <c r="B9" s="13" t="s">
        <v>550</v>
      </c>
      <c r="C9" s="14" t="s">
        <v>32</v>
      </c>
      <c r="D9" s="14" t="s">
        <v>534</v>
      </c>
      <c r="E9" s="14" t="s">
        <v>535</v>
      </c>
      <c r="F9" s="13" t="s">
        <v>551</v>
      </c>
      <c r="G9" s="15">
        <v>46092</v>
      </c>
      <c r="H9" s="15">
        <v>46784</v>
      </c>
      <c r="I9" s="17">
        <v>778</v>
      </c>
      <c r="J9" s="17">
        <v>520</v>
      </c>
      <c r="K9" s="17">
        <v>258</v>
      </c>
    </row>
    <row r="10" s="3" customFormat="1" customHeight="1" spans="1:11">
      <c r="A10" s="12" t="s">
        <v>552</v>
      </c>
      <c r="B10" s="13" t="s">
        <v>553</v>
      </c>
      <c r="C10" s="14" t="s">
        <v>32</v>
      </c>
      <c r="D10" s="14" t="s">
        <v>534</v>
      </c>
      <c r="E10" s="14" t="s">
        <v>535</v>
      </c>
      <c r="F10" s="13" t="s">
        <v>554</v>
      </c>
      <c r="G10" s="15">
        <v>46087</v>
      </c>
      <c r="H10" s="15">
        <v>46784</v>
      </c>
      <c r="I10" s="17">
        <v>763</v>
      </c>
      <c r="J10" s="17">
        <v>510</v>
      </c>
      <c r="K10" s="17">
        <v>253</v>
      </c>
    </row>
    <row r="11" s="3" customFormat="1" customHeight="1" spans="1:11">
      <c r="A11" s="12" t="s">
        <v>555</v>
      </c>
      <c r="B11" s="13" t="s">
        <v>556</v>
      </c>
      <c r="C11" s="14" t="s">
        <v>32</v>
      </c>
      <c r="D11" s="14" t="s">
        <v>534</v>
      </c>
      <c r="E11" s="14" t="s">
        <v>535</v>
      </c>
      <c r="F11" s="13" t="s">
        <v>557</v>
      </c>
      <c r="G11" s="15">
        <v>46096</v>
      </c>
      <c r="H11" s="15">
        <v>47150</v>
      </c>
      <c r="I11" s="17">
        <v>875</v>
      </c>
      <c r="J11" s="17">
        <v>585</v>
      </c>
      <c r="K11" s="17">
        <v>290</v>
      </c>
    </row>
    <row r="12" s="3" customFormat="1" customHeight="1" spans="1:11">
      <c r="A12" s="12" t="s">
        <v>558</v>
      </c>
      <c r="B12" s="13" t="s">
        <v>559</v>
      </c>
      <c r="C12" s="14" t="s">
        <v>32</v>
      </c>
      <c r="D12" s="14" t="s">
        <v>534</v>
      </c>
      <c r="E12" s="14" t="s">
        <v>535</v>
      </c>
      <c r="F12" s="13" t="s">
        <v>560</v>
      </c>
      <c r="G12" s="15">
        <v>46099</v>
      </c>
      <c r="H12" s="15">
        <v>46784</v>
      </c>
      <c r="I12" s="17">
        <v>916</v>
      </c>
      <c r="J12" s="17">
        <v>612</v>
      </c>
      <c r="K12" s="17">
        <v>304</v>
      </c>
    </row>
    <row r="13" s="3" customFormat="1" customHeight="1" spans="1:11">
      <c r="A13" s="12" t="s">
        <v>561</v>
      </c>
      <c r="B13" s="13" t="s">
        <v>562</v>
      </c>
      <c r="C13" s="14" t="s">
        <v>32</v>
      </c>
      <c r="D13" s="14" t="s">
        <v>534</v>
      </c>
      <c r="E13" s="14" t="s">
        <v>535</v>
      </c>
      <c r="F13" s="13" t="s">
        <v>563</v>
      </c>
      <c r="G13" s="15">
        <v>46085</v>
      </c>
      <c r="H13" s="15">
        <v>46784</v>
      </c>
      <c r="I13" s="17">
        <v>678</v>
      </c>
      <c r="J13" s="17">
        <v>453</v>
      </c>
      <c r="K13" s="17">
        <v>225</v>
      </c>
    </row>
    <row r="14" s="3" customFormat="1" customHeight="1" spans="1:11">
      <c r="A14" s="12" t="s">
        <v>564</v>
      </c>
      <c r="B14" s="13" t="s">
        <v>565</v>
      </c>
      <c r="C14" s="14" t="s">
        <v>32</v>
      </c>
      <c r="D14" s="14" t="s">
        <v>534</v>
      </c>
      <c r="E14" s="14" t="s">
        <v>535</v>
      </c>
      <c r="F14" s="13" t="s">
        <v>566</v>
      </c>
      <c r="G14" s="15">
        <v>46093</v>
      </c>
      <c r="H14" s="15">
        <v>46784</v>
      </c>
      <c r="I14" s="17">
        <v>875</v>
      </c>
      <c r="J14" s="17">
        <v>585</v>
      </c>
      <c r="K14" s="17">
        <v>290</v>
      </c>
    </row>
    <row r="15" s="3" customFormat="1" customHeight="1" spans="1:11">
      <c r="A15" s="12" t="s">
        <v>567</v>
      </c>
      <c r="B15" s="13" t="s">
        <v>568</v>
      </c>
      <c r="C15" s="14" t="s">
        <v>32</v>
      </c>
      <c r="D15" s="14" t="s">
        <v>534</v>
      </c>
      <c r="E15" s="14" t="s">
        <v>535</v>
      </c>
      <c r="F15" s="13" t="s">
        <v>569</v>
      </c>
      <c r="G15" s="15">
        <v>46094</v>
      </c>
      <c r="H15" s="15">
        <v>46784</v>
      </c>
      <c r="I15" s="17">
        <v>887</v>
      </c>
      <c r="J15" s="17">
        <v>593</v>
      </c>
      <c r="K15" s="17">
        <v>294</v>
      </c>
    </row>
    <row r="16" s="3" customFormat="1" customHeight="1" spans="1:11">
      <c r="A16" s="12" t="s">
        <v>570</v>
      </c>
      <c r="B16" s="13" t="s">
        <v>571</v>
      </c>
      <c r="C16" s="14" t="s">
        <v>32</v>
      </c>
      <c r="D16" s="14" t="s">
        <v>534</v>
      </c>
      <c r="E16" s="14" t="s">
        <v>535</v>
      </c>
      <c r="F16" s="13" t="s">
        <v>572</v>
      </c>
      <c r="G16" s="15">
        <v>46098</v>
      </c>
      <c r="H16" s="15">
        <v>46784</v>
      </c>
      <c r="I16" s="17">
        <v>684</v>
      </c>
      <c r="J16" s="17">
        <v>457</v>
      </c>
      <c r="K16" s="17">
        <v>227</v>
      </c>
    </row>
    <row r="17" s="3" customFormat="1" customHeight="1" spans="1:11">
      <c r="A17" s="12" t="s">
        <v>573</v>
      </c>
      <c r="B17" s="13" t="s">
        <v>574</v>
      </c>
      <c r="C17" s="14" t="s">
        <v>32</v>
      </c>
      <c r="D17" s="14" t="s">
        <v>534</v>
      </c>
      <c r="E17" s="14" t="s">
        <v>535</v>
      </c>
      <c r="F17" s="13" t="s">
        <v>575</v>
      </c>
      <c r="G17" s="15">
        <v>46086</v>
      </c>
      <c r="H17" s="15">
        <v>47150</v>
      </c>
      <c r="I17" s="17">
        <v>679</v>
      </c>
      <c r="J17" s="17">
        <v>454</v>
      </c>
      <c r="K17" s="17">
        <v>225</v>
      </c>
    </row>
    <row r="18" s="3" customFormat="1" customHeight="1" spans="1:11">
      <c r="A18" s="12" t="s">
        <v>576</v>
      </c>
      <c r="B18" s="13" t="s">
        <v>577</v>
      </c>
      <c r="C18" s="14" t="s">
        <v>32</v>
      </c>
      <c r="D18" s="14" t="s">
        <v>534</v>
      </c>
      <c r="E18" s="14" t="s">
        <v>535</v>
      </c>
      <c r="F18" s="13" t="s">
        <v>578</v>
      </c>
      <c r="G18" s="15">
        <v>46095</v>
      </c>
      <c r="H18" s="15">
        <v>46784</v>
      </c>
      <c r="I18" s="17">
        <v>932</v>
      </c>
      <c r="J18" s="17">
        <v>623</v>
      </c>
      <c r="K18" s="17">
        <v>309</v>
      </c>
    </row>
    <row r="19" s="3" customFormat="1" customHeight="1" spans="1:11">
      <c r="A19" s="12" t="s">
        <v>579</v>
      </c>
      <c r="B19" s="13" t="s">
        <v>580</v>
      </c>
      <c r="C19" s="14" t="s">
        <v>32</v>
      </c>
      <c r="D19" s="14" t="s">
        <v>581</v>
      </c>
      <c r="E19" s="14" t="s">
        <v>535</v>
      </c>
      <c r="F19" s="13" t="s">
        <v>582</v>
      </c>
      <c r="G19" s="15">
        <v>46103</v>
      </c>
      <c r="H19" s="15">
        <v>47150</v>
      </c>
      <c r="I19" s="17">
        <v>895</v>
      </c>
      <c r="J19" s="17">
        <v>598</v>
      </c>
      <c r="K19" s="17">
        <v>297</v>
      </c>
    </row>
    <row r="20" s="3" customFormat="1" customHeight="1" spans="1:11">
      <c r="A20" s="12" t="s">
        <v>583</v>
      </c>
      <c r="B20" s="13" t="s">
        <v>584</v>
      </c>
      <c r="C20" s="14" t="s">
        <v>32</v>
      </c>
      <c r="D20" s="14" t="s">
        <v>581</v>
      </c>
      <c r="E20" s="14" t="s">
        <v>535</v>
      </c>
      <c r="F20" s="13" t="s">
        <v>585</v>
      </c>
      <c r="G20" s="15">
        <v>46109</v>
      </c>
      <c r="H20" s="15">
        <v>47150</v>
      </c>
      <c r="I20" s="17">
        <v>766</v>
      </c>
      <c r="J20" s="17">
        <v>512</v>
      </c>
      <c r="K20" s="17">
        <v>254</v>
      </c>
    </row>
    <row r="21" s="3" customFormat="1" customHeight="1" spans="1:11">
      <c r="A21" s="12" t="s">
        <v>586</v>
      </c>
      <c r="B21" s="13" t="s">
        <v>587</v>
      </c>
      <c r="C21" s="14" t="s">
        <v>32</v>
      </c>
      <c r="D21" s="14" t="s">
        <v>581</v>
      </c>
      <c r="E21" s="14" t="s">
        <v>535</v>
      </c>
      <c r="F21" s="13" t="s">
        <v>588</v>
      </c>
      <c r="G21" s="15">
        <v>46102</v>
      </c>
      <c r="H21" s="15">
        <v>47150</v>
      </c>
      <c r="I21" s="17">
        <v>1143</v>
      </c>
      <c r="J21" s="17">
        <v>764</v>
      </c>
      <c r="K21" s="17">
        <v>379</v>
      </c>
    </row>
    <row r="22" s="3" customFormat="1" customHeight="1" spans="1:11">
      <c r="A22" s="12" t="s">
        <v>589</v>
      </c>
      <c r="B22" s="13" t="s">
        <v>590</v>
      </c>
      <c r="C22" s="14" t="s">
        <v>32</v>
      </c>
      <c r="D22" s="14" t="s">
        <v>581</v>
      </c>
      <c r="E22" s="14" t="s">
        <v>535</v>
      </c>
      <c r="F22" s="13" t="s">
        <v>591</v>
      </c>
      <c r="G22" s="15">
        <v>46104</v>
      </c>
      <c r="H22" s="15">
        <v>47150</v>
      </c>
      <c r="I22" s="17">
        <v>872</v>
      </c>
      <c r="J22" s="17">
        <v>583</v>
      </c>
      <c r="K22" s="17">
        <v>289</v>
      </c>
    </row>
    <row r="23" s="3" customFormat="1" customHeight="1" spans="1:11">
      <c r="A23" s="12" t="s">
        <v>592</v>
      </c>
      <c r="B23" s="13" t="s">
        <v>593</v>
      </c>
      <c r="C23" s="14" t="s">
        <v>32</v>
      </c>
      <c r="D23" s="14" t="s">
        <v>581</v>
      </c>
      <c r="E23" s="14" t="s">
        <v>535</v>
      </c>
      <c r="F23" s="13" t="s">
        <v>594</v>
      </c>
      <c r="G23" s="15">
        <v>46101</v>
      </c>
      <c r="H23" s="15">
        <v>47150</v>
      </c>
      <c r="I23" s="17">
        <v>676</v>
      </c>
      <c r="J23" s="17">
        <v>452</v>
      </c>
      <c r="K23" s="17">
        <v>224</v>
      </c>
    </row>
    <row r="24" s="3" customFormat="1" customHeight="1" spans="1:11">
      <c r="A24" s="12" t="s">
        <v>595</v>
      </c>
      <c r="B24" s="13" t="s">
        <v>596</v>
      </c>
      <c r="C24" s="14" t="s">
        <v>32</v>
      </c>
      <c r="D24" s="14" t="s">
        <v>581</v>
      </c>
      <c r="E24" s="14" t="s">
        <v>535</v>
      </c>
      <c r="F24" s="13" t="s">
        <v>597</v>
      </c>
      <c r="G24" s="15">
        <v>46110</v>
      </c>
      <c r="H24" s="15">
        <v>47150</v>
      </c>
      <c r="I24" s="17">
        <v>797</v>
      </c>
      <c r="J24" s="17">
        <v>533</v>
      </c>
      <c r="K24" s="17">
        <v>264</v>
      </c>
    </row>
    <row r="25" s="3" customFormat="1" customHeight="1" spans="1:11">
      <c r="A25" s="12" t="s">
        <v>598</v>
      </c>
      <c r="B25" s="13" t="s">
        <v>599</v>
      </c>
      <c r="C25" s="14" t="s">
        <v>32</v>
      </c>
      <c r="D25" s="14" t="s">
        <v>581</v>
      </c>
      <c r="E25" s="14" t="s">
        <v>535</v>
      </c>
      <c r="F25" s="13" t="s">
        <v>600</v>
      </c>
      <c r="G25" s="15">
        <v>46105</v>
      </c>
      <c r="H25" s="15">
        <v>47150</v>
      </c>
      <c r="I25" s="17">
        <v>757</v>
      </c>
      <c r="J25" s="17">
        <v>506</v>
      </c>
      <c r="K25" s="17">
        <v>251</v>
      </c>
    </row>
    <row r="26" s="3" customFormat="1" customHeight="1" spans="1:11">
      <c r="A26" s="12" t="s">
        <v>601</v>
      </c>
      <c r="B26" s="13" t="s">
        <v>602</v>
      </c>
      <c r="C26" s="14" t="s">
        <v>32</v>
      </c>
      <c r="D26" s="14" t="s">
        <v>581</v>
      </c>
      <c r="E26" s="14" t="s">
        <v>535</v>
      </c>
      <c r="F26" s="13" t="s">
        <v>603</v>
      </c>
      <c r="G26" s="15">
        <v>46107</v>
      </c>
      <c r="H26" s="15">
        <v>47150</v>
      </c>
      <c r="I26" s="17">
        <v>871</v>
      </c>
      <c r="J26" s="17">
        <v>582</v>
      </c>
      <c r="K26" s="17">
        <v>289</v>
      </c>
    </row>
    <row r="27" s="3" customFormat="1" customHeight="1" spans="1:11">
      <c r="A27" s="12" t="s">
        <v>604</v>
      </c>
      <c r="B27" s="13" t="s">
        <v>605</v>
      </c>
      <c r="C27" s="14" t="s">
        <v>32</v>
      </c>
      <c r="D27" s="14" t="s">
        <v>606</v>
      </c>
      <c r="E27" s="14" t="s">
        <v>535</v>
      </c>
      <c r="F27" s="13" t="s">
        <v>607</v>
      </c>
      <c r="G27" s="15">
        <v>46112</v>
      </c>
      <c r="H27" s="15">
        <v>46784</v>
      </c>
      <c r="I27" s="17">
        <v>965</v>
      </c>
      <c r="J27" s="17">
        <v>645</v>
      </c>
      <c r="K27" s="17">
        <v>320</v>
      </c>
    </row>
    <row r="28" s="3" customFormat="1" customHeight="1" spans="1:11">
      <c r="A28" s="12" t="s">
        <v>608</v>
      </c>
      <c r="B28" s="13" t="s">
        <v>609</v>
      </c>
      <c r="C28" s="14" t="s">
        <v>32</v>
      </c>
      <c r="D28" s="14" t="s">
        <v>606</v>
      </c>
      <c r="E28" s="14" t="s">
        <v>304</v>
      </c>
      <c r="F28" s="13" t="s">
        <v>610</v>
      </c>
      <c r="G28" s="15">
        <v>46111</v>
      </c>
      <c r="H28" s="15">
        <v>47150</v>
      </c>
      <c r="I28" s="17">
        <v>751</v>
      </c>
      <c r="J28" s="17">
        <v>502</v>
      </c>
      <c r="K28" s="17">
        <v>249</v>
      </c>
    </row>
    <row r="29" s="3" customFormat="1" customHeight="1" spans="1:11">
      <c r="A29" s="12" t="s">
        <v>611</v>
      </c>
      <c r="B29" s="16" t="s">
        <v>612</v>
      </c>
      <c r="C29" s="14" t="s">
        <v>32</v>
      </c>
      <c r="D29" s="14" t="s">
        <v>606</v>
      </c>
      <c r="E29" s="14" t="s">
        <v>535</v>
      </c>
      <c r="F29" s="13" t="s">
        <v>613</v>
      </c>
      <c r="G29" s="15">
        <v>46112</v>
      </c>
      <c r="H29" s="15">
        <v>46784</v>
      </c>
      <c r="I29" s="17">
        <v>883</v>
      </c>
      <c r="J29" s="17">
        <v>590</v>
      </c>
      <c r="K29" s="17">
        <v>293</v>
      </c>
    </row>
    <row r="30" s="3" customFormat="1" customHeight="1" spans="1:11">
      <c r="A30" s="12" t="s">
        <v>614</v>
      </c>
      <c r="B30" s="13" t="s">
        <v>615</v>
      </c>
      <c r="C30" s="14" t="s">
        <v>32</v>
      </c>
      <c r="D30" s="14" t="s">
        <v>606</v>
      </c>
      <c r="E30" s="14" t="s">
        <v>535</v>
      </c>
      <c r="F30" s="13" t="s">
        <v>616</v>
      </c>
      <c r="G30" s="15">
        <v>46111</v>
      </c>
      <c r="H30" s="15">
        <v>47150</v>
      </c>
      <c r="I30" s="17">
        <v>904</v>
      </c>
      <c r="J30" s="17">
        <v>604</v>
      </c>
      <c r="K30" s="17">
        <v>300</v>
      </c>
    </row>
    <row r="31" s="3" customFormat="1" customHeight="1" spans="1:11">
      <c r="A31" s="12" t="s">
        <v>617</v>
      </c>
      <c r="B31" s="13" t="s">
        <v>618</v>
      </c>
      <c r="C31" s="14" t="s">
        <v>32</v>
      </c>
      <c r="D31" s="14" t="s">
        <v>606</v>
      </c>
      <c r="E31" s="14" t="s">
        <v>535</v>
      </c>
      <c r="F31" s="13" t="s">
        <v>619</v>
      </c>
      <c r="G31" s="15">
        <v>46112</v>
      </c>
      <c r="H31" s="15">
        <v>47150</v>
      </c>
      <c r="I31" s="17">
        <v>945</v>
      </c>
      <c r="J31" s="17">
        <v>632</v>
      </c>
      <c r="K31" s="17">
        <v>313</v>
      </c>
    </row>
    <row r="32" s="3" customFormat="1" customHeight="1" spans="1:11">
      <c r="A32" s="12" t="s">
        <v>620</v>
      </c>
      <c r="B32" s="13" t="s">
        <v>621</v>
      </c>
      <c r="C32" s="14" t="s">
        <v>32</v>
      </c>
      <c r="D32" s="14" t="s">
        <v>606</v>
      </c>
      <c r="E32" s="14" t="s">
        <v>535</v>
      </c>
      <c r="F32" s="13" t="s">
        <v>622</v>
      </c>
      <c r="G32" s="15">
        <v>46111</v>
      </c>
      <c r="H32" s="15">
        <v>46784</v>
      </c>
      <c r="I32" s="17">
        <v>711</v>
      </c>
      <c r="J32" s="17">
        <v>475</v>
      </c>
      <c r="K32" s="17">
        <v>236</v>
      </c>
    </row>
    <row r="33" s="3" customFormat="1" customHeight="1" spans="1:11">
      <c r="A33" s="12" t="s">
        <v>623</v>
      </c>
      <c r="B33" s="13" t="s">
        <v>624</v>
      </c>
      <c r="C33" s="14" t="s">
        <v>32</v>
      </c>
      <c r="D33" s="14" t="s">
        <v>625</v>
      </c>
      <c r="E33" s="14" t="s">
        <v>535</v>
      </c>
      <c r="F33" s="13" t="s">
        <v>626</v>
      </c>
      <c r="G33" s="15">
        <v>46112</v>
      </c>
      <c r="H33" s="15">
        <v>46784</v>
      </c>
      <c r="I33" s="17">
        <v>778</v>
      </c>
      <c r="J33" s="17">
        <v>520</v>
      </c>
      <c r="K33" s="17">
        <v>258</v>
      </c>
    </row>
    <row r="34" s="3" customFormat="1" customHeight="1" spans="1:11">
      <c r="A34" s="12" t="s">
        <v>627</v>
      </c>
      <c r="B34" s="13" t="s">
        <v>628</v>
      </c>
      <c r="C34" s="14" t="s">
        <v>32</v>
      </c>
      <c r="D34" s="14" t="s">
        <v>625</v>
      </c>
      <c r="E34" s="14" t="s">
        <v>535</v>
      </c>
      <c r="F34" s="13" t="s">
        <v>629</v>
      </c>
      <c r="G34" s="15">
        <v>46111</v>
      </c>
      <c r="H34" s="15">
        <v>46784</v>
      </c>
      <c r="I34" s="17">
        <v>666</v>
      </c>
      <c r="J34" s="17">
        <v>445</v>
      </c>
      <c r="K34" s="17">
        <v>221</v>
      </c>
    </row>
    <row r="35" s="3" customFormat="1" customHeight="1" spans="1:11">
      <c r="A35" s="12" t="s">
        <v>630</v>
      </c>
      <c r="B35" s="13" t="s">
        <v>56</v>
      </c>
      <c r="C35" s="14" t="s">
        <v>32</v>
      </c>
      <c r="D35" s="14" t="s">
        <v>52</v>
      </c>
      <c r="E35" s="14" t="s">
        <v>535</v>
      </c>
      <c r="F35" s="13" t="s">
        <v>57</v>
      </c>
      <c r="G35" s="15">
        <v>46111</v>
      </c>
      <c r="H35" s="15">
        <v>47150</v>
      </c>
      <c r="I35" s="17">
        <v>830</v>
      </c>
      <c r="J35" s="17">
        <v>555</v>
      </c>
      <c r="K35" s="17">
        <v>275</v>
      </c>
    </row>
    <row r="36" s="3" customFormat="1" customHeight="1" spans="1:11">
      <c r="A36" s="12" t="s">
        <v>631</v>
      </c>
      <c r="B36" s="13" t="s">
        <v>63</v>
      </c>
      <c r="C36" s="14" t="s">
        <v>32</v>
      </c>
      <c r="D36" s="14" t="s">
        <v>40</v>
      </c>
      <c r="E36" s="14" t="s">
        <v>535</v>
      </c>
      <c r="F36" s="13" t="s">
        <v>632</v>
      </c>
      <c r="G36" s="15">
        <v>46111</v>
      </c>
      <c r="H36" s="15">
        <v>46811</v>
      </c>
      <c r="I36" s="17">
        <v>1047</v>
      </c>
      <c r="J36" s="17">
        <v>700</v>
      </c>
      <c r="K36" s="17">
        <v>347</v>
      </c>
    </row>
    <row r="37" s="3" customFormat="1" customHeight="1" spans="1:11">
      <c r="A37" s="12" t="s">
        <v>633</v>
      </c>
      <c r="B37" s="13" t="s">
        <v>72</v>
      </c>
      <c r="C37" s="14" t="s">
        <v>32</v>
      </c>
      <c r="D37" s="14" t="s">
        <v>40</v>
      </c>
      <c r="E37" s="14" t="s">
        <v>535</v>
      </c>
      <c r="F37" s="13" t="s">
        <v>73</v>
      </c>
      <c r="G37" s="15">
        <v>46111</v>
      </c>
      <c r="H37" s="15">
        <v>47150</v>
      </c>
      <c r="I37" s="17">
        <v>1070</v>
      </c>
      <c r="J37" s="17">
        <v>715</v>
      </c>
      <c r="K37" s="17">
        <v>355</v>
      </c>
    </row>
    <row r="38" s="3" customFormat="1" customHeight="1" spans="1:11">
      <c r="A38" s="12" t="s">
        <v>634</v>
      </c>
      <c r="B38" s="13" t="s">
        <v>635</v>
      </c>
      <c r="C38" s="14" t="s">
        <v>108</v>
      </c>
      <c r="D38" s="14" t="s">
        <v>636</v>
      </c>
      <c r="E38" s="14" t="s">
        <v>535</v>
      </c>
      <c r="F38" s="13" t="s">
        <v>637</v>
      </c>
      <c r="G38" s="15">
        <v>46111</v>
      </c>
      <c r="H38" s="15">
        <v>46784</v>
      </c>
      <c r="I38" s="17">
        <v>724</v>
      </c>
      <c r="J38" s="17">
        <v>485</v>
      </c>
      <c r="K38" s="17">
        <v>239</v>
      </c>
    </row>
    <row r="39" s="3" customFormat="1" customHeight="1" spans="1:11">
      <c r="A39" s="12" t="s">
        <v>638</v>
      </c>
      <c r="B39" s="13" t="s">
        <v>639</v>
      </c>
      <c r="C39" s="14" t="s">
        <v>108</v>
      </c>
      <c r="D39" s="14" t="s">
        <v>117</v>
      </c>
      <c r="E39" s="14" t="s">
        <v>535</v>
      </c>
      <c r="F39" s="13" t="s">
        <v>640</v>
      </c>
      <c r="G39" s="15">
        <v>46112</v>
      </c>
      <c r="H39" s="15">
        <v>46784</v>
      </c>
      <c r="I39" s="17">
        <v>639</v>
      </c>
      <c r="J39" s="17">
        <v>428</v>
      </c>
      <c r="K39" s="17">
        <v>211</v>
      </c>
    </row>
    <row r="40" s="3" customFormat="1" customHeight="1" spans="1:11">
      <c r="A40" s="12" t="s">
        <v>641</v>
      </c>
      <c r="B40" s="13" t="s">
        <v>642</v>
      </c>
      <c r="C40" s="14" t="s">
        <v>108</v>
      </c>
      <c r="D40" s="14" t="s">
        <v>117</v>
      </c>
      <c r="E40" s="14" t="s">
        <v>535</v>
      </c>
      <c r="F40" s="13" t="s">
        <v>643</v>
      </c>
      <c r="G40" s="15">
        <v>46112</v>
      </c>
      <c r="H40" s="15">
        <v>47177</v>
      </c>
      <c r="I40" s="17">
        <v>821</v>
      </c>
      <c r="J40" s="17">
        <v>550</v>
      </c>
      <c r="K40" s="17">
        <v>271</v>
      </c>
    </row>
    <row r="41" s="3" customFormat="1" customHeight="1" spans="1:11">
      <c r="A41" s="12" t="s">
        <v>644</v>
      </c>
      <c r="B41" s="13" t="s">
        <v>645</v>
      </c>
      <c r="C41" s="14" t="s">
        <v>108</v>
      </c>
      <c r="D41" s="14" t="s">
        <v>117</v>
      </c>
      <c r="E41" s="14" t="s">
        <v>535</v>
      </c>
      <c r="F41" s="13" t="s">
        <v>646</v>
      </c>
      <c r="G41" s="15">
        <v>46111</v>
      </c>
      <c r="H41" s="15">
        <v>47150</v>
      </c>
      <c r="I41" s="17">
        <v>806</v>
      </c>
      <c r="J41" s="17">
        <v>540</v>
      </c>
      <c r="K41" s="17">
        <v>266</v>
      </c>
    </row>
    <row r="42" s="3" customFormat="1" customHeight="1" spans="1:11">
      <c r="A42" s="12" t="s">
        <v>647</v>
      </c>
      <c r="B42" s="13" t="s">
        <v>648</v>
      </c>
      <c r="C42" s="14" t="s">
        <v>108</v>
      </c>
      <c r="D42" s="14" t="s">
        <v>117</v>
      </c>
      <c r="E42" s="14" t="s">
        <v>535</v>
      </c>
      <c r="F42" s="13" t="s">
        <v>649</v>
      </c>
      <c r="G42" s="15">
        <v>46111</v>
      </c>
      <c r="H42" s="15">
        <v>46784</v>
      </c>
      <c r="I42" s="17">
        <v>1015</v>
      </c>
      <c r="J42" s="17">
        <v>680</v>
      </c>
      <c r="K42" s="17">
        <v>335</v>
      </c>
    </row>
    <row r="43" s="3" customFormat="1" customHeight="1" spans="1:11">
      <c r="A43" s="12" t="s">
        <v>650</v>
      </c>
      <c r="B43" s="13" t="s">
        <v>651</v>
      </c>
      <c r="C43" s="14" t="s">
        <v>108</v>
      </c>
      <c r="D43" s="14" t="s">
        <v>636</v>
      </c>
      <c r="E43" s="14" t="s">
        <v>535</v>
      </c>
      <c r="F43" s="13" t="s">
        <v>652</v>
      </c>
      <c r="G43" s="15">
        <v>46112</v>
      </c>
      <c r="H43" s="15">
        <v>47177</v>
      </c>
      <c r="I43" s="17">
        <v>746</v>
      </c>
      <c r="J43" s="17">
        <v>500</v>
      </c>
      <c r="K43" s="17">
        <v>246</v>
      </c>
    </row>
    <row r="44" s="3" customFormat="1" customHeight="1" spans="1:11">
      <c r="A44" s="12" t="s">
        <v>653</v>
      </c>
      <c r="B44" s="13" t="s">
        <v>654</v>
      </c>
      <c r="C44" s="14" t="s">
        <v>108</v>
      </c>
      <c r="D44" s="14" t="s">
        <v>117</v>
      </c>
      <c r="E44" s="14" t="s">
        <v>535</v>
      </c>
      <c r="F44" s="13" t="s">
        <v>655</v>
      </c>
      <c r="G44" s="15">
        <v>46112</v>
      </c>
      <c r="H44" s="15">
        <v>47150</v>
      </c>
      <c r="I44" s="17">
        <v>761</v>
      </c>
      <c r="J44" s="17">
        <v>510</v>
      </c>
      <c r="K44" s="17">
        <v>251</v>
      </c>
    </row>
    <row r="45" s="3" customFormat="1" customHeight="1" spans="1:11">
      <c r="A45" s="12" t="s">
        <v>656</v>
      </c>
      <c r="B45" s="13" t="s">
        <v>657</v>
      </c>
      <c r="C45" s="14" t="s">
        <v>108</v>
      </c>
      <c r="D45" s="14" t="s">
        <v>658</v>
      </c>
      <c r="E45" s="14" t="s">
        <v>535</v>
      </c>
      <c r="F45" s="13" t="s">
        <v>659</v>
      </c>
      <c r="G45" s="15">
        <v>46111</v>
      </c>
      <c r="H45" s="15">
        <v>46784</v>
      </c>
      <c r="I45" s="17">
        <v>1032</v>
      </c>
      <c r="J45" s="17">
        <v>692</v>
      </c>
      <c r="K45" s="17">
        <v>340</v>
      </c>
    </row>
    <row r="46" s="3" customFormat="1" customHeight="1" spans="1:11">
      <c r="A46" s="12" t="s">
        <v>660</v>
      </c>
      <c r="B46" s="13" t="s">
        <v>661</v>
      </c>
      <c r="C46" s="14" t="s">
        <v>108</v>
      </c>
      <c r="D46" s="14" t="s">
        <v>658</v>
      </c>
      <c r="E46" s="14" t="s">
        <v>535</v>
      </c>
      <c r="F46" s="13" t="s">
        <v>662</v>
      </c>
      <c r="G46" s="15">
        <v>46111</v>
      </c>
      <c r="H46" s="15">
        <v>47177</v>
      </c>
      <c r="I46" s="17">
        <v>940</v>
      </c>
      <c r="J46" s="17">
        <v>630</v>
      </c>
      <c r="K46" s="17">
        <v>310</v>
      </c>
    </row>
    <row r="47" s="3" customFormat="1" customHeight="1" spans="1:11">
      <c r="A47" s="12" t="s">
        <v>663</v>
      </c>
      <c r="B47" s="13" t="s">
        <v>664</v>
      </c>
      <c r="C47" s="14" t="s">
        <v>108</v>
      </c>
      <c r="D47" s="14" t="s">
        <v>658</v>
      </c>
      <c r="E47" s="14" t="s">
        <v>535</v>
      </c>
      <c r="F47" s="13" t="s">
        <v>665</v>
      </c>
      <c r="G47" s="15">
        <v>46112</v>
      </c>
      <c r="H47" s="15">
        <v>47177</v>
      </c>
      <c r="I47" s="17">
        <v>724</v>
      </c>
      <c r="J47" s="17">
        <v>485</v>
      </c>
      <c r="K47" s="17">
        <v>239</v>
      </c>
    </row>
    <row r="48" s="3" customFormat="1" customHeight="1" spans="1:11">
      <c r="A48" s="12" t="s">
        <v>666</v>
      </c>
      <c r="B48" s="13" t="s">
        <v>667</v>
      </c>
      <c r="C48" s="14" t="s">
        <v>108</v>
      </c>
      <c r="D48" s="14" t="s">
        <v>658</v>
      </c>
      <c r="E48" s="14" t="s">
        <v>535</v>
      </c>
      <c r="F48" s="13" t="s">
        <v>668</v>
      </c>
      <c r="G48" s="15">
        <v>46111</v>
      </c>
      <c r="H48" s="15">
        <v>46784</v>
      </c>
      <c r="I48" s="17">
        <v>824</v>
      </c>
      <c r="J48" s="17">
        <v>552</v>
      </c>
      <c r="K48" s="17">
        <v>272</v>
      </c>
    </row>
    <row r="49" s="3" customFormat="1" customHeight="1" spans="1:11">
      <c r="A49" s="12" t="s">
        <v>669</v>
      </c>
      <c r="B49" s="13" t="s">
        <v>670</v>
      </c>
      <c r="C49" s="14" t="s">
        <v>108</v>
      </c>
      <c r="D49" s="14" t="s">
        <v>658</v>
      </c>
      <c r="E49" s="14" t="s">
        <v>535</v>
      </c>
      <c r="F49" s="13" t="s">
        <v>671</v>
      </c>
      <c r="G49" s="15">
        <v>46111</v>
      </c>
      <c r="H49" s="15">
        <v>46784</v>
      </c>
      <c r="I49" s="17">
        <v>810</v>
      </c>
      <c r="J49" s="17">
        <v>543</v>
      </c>
      <c r="K49" s="17">
        <v>267</v>
      </c>
    </row>
    <row r="50" s="3" customFormat="1" customHeight="1" spans="1:11">
      <c r="A50" s="12" t="s">
        <v>672</v>
      </c>
      <c r="B50" s="13" t="s">
        <v>673</v>
      </c>
      <c r="C50" s="14" t="s">
        <v>108</v>
      </c>
      <c r="D50" s="14" t="s">
        <v>658</v>
      </c>
      <c r="E50" s="14" t="s">
        <v>535</v>
      </c>
      <c r="F50" s="13" t="s">
        <v>674</v>
      </c>
      <c r="G50" s="15">
        <v>46112</v>
      </c>
      <c r="H50" s="15">
        <v>47177</v>
      </c>
      <c r="I50" s="17">
        <v>1044</v>
      </c>
      <c r="J50" s="17">
        <v>700</v>
      </c>
      <c r="K50" s="17">
        <v>344</v>
      </c>
    </row>
    <row r="51" s="3" customFormat="1" customHeight="1" spans="1:11">
      <c r="A51" s="12" t="s">
        <v>675</v>
      </c>
      <c r="B51" s="13" t="s">
        <v>676</v>
      </c>
      <c r="C51" s="14" t="s">
        <v>108</v>
      </c>
      <c r="D51" s="14" t="s">
        <v>658</v>
      </c>
      <c r="E51" s="14" t="s">
        <v>535</v>
      </c>
      <c r="F51" s="13" t="s">
        <v>677</v>
      </c>
      <c r="G51" s="15">
        <v>46111</v>
      </c>
      <c r="H51" s="15">
        <v>47177</v>
      </c>
      <c r="I51" s="17">
        <v>895</v>
      </c>
      <c r="J51" s="17">
        <v>600</v>
      </c>
      <c r="K51" s="17">
        <v>295</v>
      </c>
    </row>
    <row r="52" s="3" customFormat="1" customHeight="1" spans="1:11">
      <c r="A52" s="12" t="s">
        <v>678</v>
      </c>
      <c r="B52" s="13" t="s">
        <v>679</v>
      </c>
      <c r="C52" s="14" t="s">
        <v>108</v>
      </c>
      <c r="D52" s="14" t="s">
        <v>658</v>
      </c>
      <c r="E52" s="14" t="s">
        <v>535</v>
      </c>
      <c r="F52" s="13" t="s">
        <v>680</v>
      </c>
      <c r="G52" s="15">
        <v>46112</v>
      </c>
      <c r="H52" s="15">
        <v>46784</v>
      </c>
      <c r="I52" s="17">
        <v>859</v>
      </c>
      <c r="J52" s="17">
        <v>576</v>
      </c>
      <c r="K52" s="17">
        <v>283</v>
      </c>
    </row>
    <row r="53" s="3" customFormat="1" customHeight="1" spans="1:11">
      <c r="A53" s="12" t="s">
        <v>681</v>
      </c>
      <c r="B53" s="13" t="s">
        <v>682</v>
      </c>
      <c r="C53" s="14" t="s">
        <v>108</v>
      </c>
      <c r="D53" s="14" t="s">
        <v>658</v>
      </c>
      <c r="E53" s="14" t="s">
        <v>535</v>
      </c>
      <c r="F53" s="13" t="s">
        <v>683</v>
      </c>
      <c r="G53" s="15">
        <v>46112</v>
      </c>
      <c r="H53" s="15">
        <v>47177</v>
      </c>
      <c r="I53" s="17">
        <v>1044</v>
      </c>
      <c r="J53" s="17">
        <v>700</v>
      </c>
      <c r="K53" s="17">
        <v>344</v>
      </c>
    </row>
    <row r="54" s="3" customFormat="1" customHeight="1" spans="1:11">
      <c r="A54" s="12" t="s">
        <v>684</v>
      </c>
      <c r="B54" s="13" t="s">
        <v>685</v>
      </c>
      <c r="C54" s="14" t="s">
        <v>108</v>
      </c>
      <c r="D54" s="14" t="s">
        <v>658</v>
      </c>
      <c r="E54" s="14" t="s">
        <v>535</v>
      </c>
      <c r="F54" s="13" t="s">
        <v>686</v>
      </c>
      <c r="G54" s="15">
        <v>46112</v>
      </c>
      <c r="H54" s="15">
        <v>46784</v>
      </c>
      <c r="I54" s="17">
        <v>761</v>
      </c>
      <c r="J54" s="17">
        <v>510</v>
      </c>
      <c r="K54" s="17">
        <v>251</v>
      </c>
    </row>
    <row r="55" s="3" customFormat="1" customHeight="1" spans="1:11">
      <c r="A55" s="12" t="s">
        <v>687</v>
      </c>
      <c r="B55" s="13" t="s">
        <v>688</v>
      </c>
      <c r="C55" s="14" t="s">
        <v>108</v>
      </c>
      <c r="D55" s="14" t="s">
        <v>658</v>
      </c>
      <c r="E55" s="14" t="s">
        <v>535</v>
      </c>
      <c r="F55" s="13" t="s">
        <v>689</v>
      </c>
      <c r="G55" s="15">
        <v>46112</v>
      </c>
      <c r="H55" s="15">
        <v>47177</v>
      </c>
      <c r="I55" s="17">
        <v>958</v>
      </c>
      <c r="J55" s="17">
        <v>642</v>
      </c>
      <c r="K55" s="17">
        <v>316</v>
      </c>
    </row>
    <row r="56" s="3" customFormat="1" customHeight="1" spans="1:11">
      <c r="A56" s="12" t="s">
        <v>690</v>
      </c>
      <c r="B56" s="13" t="s">
        <v>691</v>
      </c>
      <c r="C56" s="14" t="s">
        <v>108</v>
      </c>
      <c r="D56" s="14" t="s">
        <v>658</v>
      </c>
      <c r="E56" s="14" t="s">
        <v>535</v>
      </c>
      <c r="F56" s="13" t="s">
        <v>692</v>
      </c>
      <c r="G56" s="15">
        <v>46111</v>
      </c>
      <c r="H56" s="15">
        <v>47177</v>
      </c>
      <c r="I56" s="17">
        <v>703</v>
      </c>
      <c r="J56" s="17">
        <v>471</v>
      </c>
      <c r="K56" s="17">
        <v>232</v>
      </c>
    </row>
    <row r="57" s="3" customFormat="1" customHeight="1" spans="1:11">
      <c r="A57" s="12" t="s">
        <v>693</v>
      </c>
      <c r="B57" s="13" t="s">
        <v>694</v>
      </c>
      <c r="C57" s="14" t="s">
        <v>108</v>
      </c>
      <c r="D57" s="14" t="s">
        <v>109</v>
      </c>
      <c r="E57" s="14" t="s">
        <v>535</v>
      </c>
      <c r="F57" s="13" t="s">
        <v>695</v>
      </c>
      <c r="G57" s="15">
        <v>46111</v>
      </c>
      <c r="H57" s="15">
        <v>46784</v>
      </c>
      <c r="I57" s="17">
        <v>1492</v>
      </c>
      <c r="J57" s="17">
        <v>1000</v>
      </c>
      <c r="K57" s="17">
        <v>492</v>
      </c>
    </row>
    <row r="58" s="3" customFormat="1" customHeight="1" spans="1:11">
      <c r="A58" s="12" t="s">
        <v>696</v>
      </c>
      <c r="B58" s="13" t="s">
        <v>697</v>
      </c>
      <c r="C58" s="14" t="s">
        <v>108</v>
      </c>
      <c r="D58" s="14" t="s">
        <v>109</v>
      </c>
      <c r="E58" s="14" t="s">
        <v>304</v>
      </c>
      <c r="F58" s="13" t="s">
        <v>698</v>
      </c>
      <c r="G58" s="15">
        <v>46111</v>
      </c>
      <c r="H58" s="15">
        <v>46784</v>
      </c>
      <c r="I58" s="17">
        <v>1079</v>
      </c>
      <c r="J58" s="17">
        <v>723</v>
      </c>
      <c r="K58" s="17">
        <v>356</v>
      </c>
    </row>
    <row r="59" s="3" customFormat="1" customHeight="1" spans="1:11">
      <c r="A59" s="12" t="s">
        <v>699</v>
      </c>
      <c r="B59" s="13" t="s">
        <v>700</v>
      </c>
      <c r="C59" s="14" t="s">
        <v>108</v>
      </c>
      <c r="D59" s="14" t="s">
        <v>109</v>
      </c>
      <c r="E59" s="14" t="s">
        <v>535</v>
      </c>
      <c r="F59" s="13" t="s">
        <v>701</v>
      </c>
      <c r="G59" s="15">
        <v>46112</v>
      </c>
      <c r="H59" s="15">
        <v>47177</v>
      </c>
      <c r="I59" s="17">
        <v>1024</v>
      </c>
      <c r="J59" s="17">
        <v>686</v>
      </c>
      <c r="K59" s="17">
        <v>338</v>
      </c>
    </row>
    <row r="60" s="3" customFormat="1" customHeight="1" spans="1:11">
      <c r="A60" s="12" t="s">
        <v>702</v>
      </c>
      <c r="B60" s="13" t="s">
        <v>703</v>
      </c>
      <c r="C60" s="14" t="s">
        <v>108</v>
      </c>
      <c r="D60" s="14" t="s">
        <v>109</v>
      </c>
      <c r="E60" s="14" t="s">
        <v>535</v>
      </c>
      <c r="F60" s="13" t="s">
        <v>704</v>
      </c>
      <c r="G60" s="15">
        <v>46112</v>
      </c>
      <c r="H60" s="15">
        <v>46784</v>
      </c>
      <c r="I60" s="17">
        <v>709</v>
      </c>
      <c r="J60" s="17">
        <v>475</v>
      </c>
      <c r="K60" s="17">
        <v>234</v>
      </c>
    </row>
    <row r="61" s="3" customFormat="1" customHeight="1" spans="1:11">
      <c r="A61" s="12" t="s">
        <v>705</v>
      </c>
      <c r="B61" s="13" t="s">
        <v>706</v>
      </c>
      <c r="C61" s="14" t="s">
        <v>108</v>
      </c>
      <c r="D61" s="14" t="s">
        <v>109</v>
      </c>
      <c r="E61" s="14" t="s">
        <v>535</v>
      </c>
      <c r="F61" s="13" t="s">
        <v>707</v>
      </c>
      <c r="G61" s="15">
        <v>46112</v>
      </c>
      <c r="H61" s="15">
        <v>46784</v>
      </c>
      <c r="I61" s="17">
        <v>1074</v>
      </c>
      <c r="J61" s="17">
        <v>720</v>
      </c>
      <c r="K61" s="17">
        <v>354</v>
      </c>
    </row>
    <row r="62" s="3" customFormat="1" customHeight="1" spans="1:11">
      <c r="A62" s="12" t="s">
        <v>708</v>
      </c>
      <c r="B62" s="13" t="s">
        <v>709</v>
      </c>
      <c r="C62" s="14" t="s">
        <v>108</v>
      </c>
      <c r="D62" s="14" t="s">
        <v>109</v>
      </c>
      <c r="E62" s="14" t="s">
        <v>535</v>
      </c>
      <c r="F62" s="13" t="s">
        <v>710</v>
      </c>
      <c r="G62" s="15">
        <v>46112</v>
      </c>
      <c r="H62" s="15">
        <v>46784</v>
      </c>
      <c r="I62" s="17">
        <v>907</v>
      </c>
      <c r="J62" s="17">
        <v>608</v>
      </c>
      <c r="K62" s="17">
        <v>299</v>
      </c>
    </row>
    <row r="63" s="3" customFormat="1" customHeight="1" spans="1:11">
      <c r="A63" s="12" t="s">
        <v>711</v>
      </c>
      <c r="B63" s="13" t="s">
        <v>712</v>
      </c>
      <c r="C63" s="14" t="s">
        <v>108</v>
      </c>
      <c r="D63" s="14" t="s">
        <v>109</v>
      </c>
      <c r="E63" s="14" t="s">
        <v>535</v>
      </c>
      <c r="F63" s="13" t="s">
        <v>713</v>
      </c>
      <c r="G63" s="15">
        <v>46111</v>
      </c>
      <c r="H63" s="15">
        <v>46784</v>
      </c>
      <c r="I63" s="17">
        <v>730</v>
      </c>
      <c r="J63" s="17">
        <v>489</v>
      </c>
      <c r="K63" s="17">
        <v>241</v>
      </c>
    </row>
    <row r="64" s="3" customFormat="1" customHeight="1" spans="1:11">
      <c r="A64" s="12" t="s">
        <v>714</v>
      </c>
      <c r="B64" s="13" t="s">
        <v>715</v>
      </c>
      <c r="C64" s="14" t="s">
        <v>108</v>
      </c>
      <c r="D64" s="14" t="s">
        <v>133</v>
      </c>
      <c r="E64" s="14" t="s">
        <v>535</v>
      </c>
      <c r="F64" s="13" t="s">
        <v>716</v>
      </c>
      <c r="G64" s="15">
        <v>46111</v>
      </c>
      <c r="H64" s="15">
        <v>46784</v>
      </c>
      <c r="I64" s="17">
        <v>1194</v>
      </c>
      <c r="J64" s="17">
        <v>800</v>
      </c>
      <c r="K64" s="17">
        <v>394</v>
      </c>
    </row>
    <row r="65" s="3" customFormat="1" customHeight="1" spans="1:11">
      <c r="A65" s="12" t="s">
        <v>717</v>
      </c>
      <c r="B65" s="13" t="s">
        <v>718</v>
      </c>
      <c r="C65" s="14" t="s">
        <v>108</v>
      </c>
      <c r="D65" s="14" t="s">
        <v>133</v>
      </c>
      <c r="E65" s="14" t="s">
        <v>535</v>
      </c>
      <c r="F65" s="13" t="s">
        <v>719</v>
      </c>
      <c r="G65" s="15">
        <v>46111</v>
      </c>
      <c r="H65" s="15">
        <v>47177</v>
      </c>
      <c r="I65" s="17">
        <v>983</v>
      </c>
      <c r="J65" s="17">
        <v>659</v>
      </c>
      <c r="K65" s="17">
        <v>324</v>
      </c>
    </row>
    <row r="66" s="3" customFormat="1" customHeight="1" spans="1:11">
      <c r="A66" s="12" t="s">
        <v>720</v>
      </c>
      <c r="B66" s="13" t="s">
        <v>721</v>
      </c>
      <c r="C66" s="14" t="s">
        <v>108</v>
      </c>
      <c r="D66" s="14" t="s">
        <v>133</v>
      </c>
      <c r="E66" s="14" t="s">
        <v>535</v>
      </c>
      <c r="F66" s="13" t="s">
        <v>722</v>
      </c>
      <c r="G66" s="15">
        <v>46112</v>
      </c>
      <c r="H66" s="15">
        <v>46784</v>
      </c>
      <c r="I66" s="17">
        <v>944</v>
      </c>
      <c r="J66" s="17">
        <v>633</v>
      </c>
      <c r="K66" s="17">
        <v>311</v>
      </c>
    </row>
    <row r="67" s="3" customFormat="1" customHeight="1" spans="1:11">
      <c r="A67" s="12" t="s">
        <v>723</v>
      </c>
      <c r="B67" s="13" t="s">
        <v>724</v>
      </c>
      <c r="C67" s="14" t="s">
        <v>108</v>
      </c>
      <c r="D67" s="14" t="s">
        <v>133</v>
      </c>
      <c r="E67" s="14" t="s">
        <v>535</v>
      </c>
      <c r="F67" s="13" t="s">
        <v>725</v>
      </c>
      <c r="G67" s="15">
        <v>46111</v>
      </c>
      <c r="H67" s="15">
        <v>47177</v>
      </c>
      <c r="I67" s="17">
        <v>724</v>
      </c>
      <c r="J67" s="17">
        <v>485</v>
      </c>
      <c r="K67" s="17">
        <v>239</v>
      </c>
    </row>
    <row r="68" s="3" customFormat="1" customHeight="1" spans="1:11">
      <c r="A68" s="12" t="s">
        <v>726</v>
      </c>
      <c r="B68" s="13" t="s">
        <v>727</v>
      </c>
      <c r="C68" s="14" t="s">
        <v>108</v>
      </c>
      <c r="D68" s="14" t="s">
        <v>133</v>
      </c>
      <c r="E68" s="14" t="s">
        <v>535</v>
      </c>
      <c r="F68" s="13" t="s">
        <v>728</v>
      </c>
      <c r="G68" s="15">
        <v>46112</v>
      </c>
      <c r="H68" s="15">
        <v>47177</v>
      </c>
      <c r="I68" s="17">
        <v>940</v>
      </c>
      <c r="J68" s="17">
        <v>630</v>
      </c>
      <c r="K68" s="17">
        <v>310</v>
      </c>
    </row>
    <row r="69" s="3" customFormat="1" customHeight="1" spans="1:11">
      <c r="A69" s="12" t="s">
        <v>729</v>
      </c>
      <c r="B69" s="13" t="s">
        <v>730</v>
      </c>
      <c r="C69" s="14" t="s">
        <v>108</v>
      </c>
      <c r="D69" s="14" t="s">
        <v>133</v>
      </c>
      <c r="E69" s="14" t="s">
        <v>535</v>
      </c>
      <c r="F69" s="13" t="s">
        <v>731</v>
      </c>
      <c r="G69" s="15">
        <v>46112</v>
      </c>
      <c r="H69" s="15">
        <v>47177</v>
      </c>
      <c r="I69" s="17">
        <v>933</v>
      </c>
      <c r="J69" s="17">
        <v>625</v>
      </c>
      <c r="K69" s="17">
        <v>308</v>
      </c>
    </row>
    <row r="70" s="3" customFormat="1" customHeight="1" spans="1:11">
      <c r="A70" s="12" t="s">
        <v>732</v>
      </c>
      <c r="B70" s="13" t="s">
        <v>733</v>
      </c>
      <c r="C70" s="14" t="s">
        <v>108</v>
      </c>
      <c r="D70" s="14" t="s">
        <v>133</v>
      </c>
      <c r="E70" s="14" t="s">
        <v>535</v>
      </c>
      <c r="F70" s="13" t="s">
        <v>734</v>
      </c>
      <c r="G70" s="15">
        <v>46112</v>
      </c>
      <c r="H70" s="15">
        <v>46784</v>
      </c>
      <c r="I70" s="17">
        <v>1085</v>
      </c>
      <c r="J70" s="17">
        <v>727</v>
      </c>
      <c r="K70" s="17">
        <v>358</v>
      </c>
    </row>
    <row r="71" s="3" customFormat="1" customHeight="1" spans="1:11">
      <c r="A71" s="12" t="s">
        <v>735</v>
      </c>
      <c r="B71" s="13" t="s">
        <v>736</v>
      </c>
      <c r="C71" s="14" t="s">
        <v>108</v>
      </c>
      <c r="D71" s="14" t="s">
        <v>133</v>
      </c>
      <c r="E71" s="14" t="s">
        <v>535</v>
      </c>
      <c r="F71" s="13" t="s">
        <v>737</v>
      </c>
      <c r="G71" s="15">
        <v>46112</v>
      </c>
      <c r="H71" s="15">
        <v>46784</v>
      </c>
      <c r="I71" s="17">
        <v>973</v>
      </c>
      <c r="J71" s="17">
        <v>652</v>
      </c>
      <c r="K71" s="17">
        <v>321</v>
      </c>
    </row>
    <row r="72" s="3" customFormat="1" customHeight="1" spans="1:11">
      <c r="A72" s="12" t="s">
        <v>738</v>
      </c>
      <c r="B72" s="13" t="s">
        <v>739</v>
      </c>
      <c r="C72" s="14" t="s">
        <v>108</v>
      </c>
      <c r="D72" s="14" t="s">
        <v>133</v>
      </c>
      <c r="E72" s="14" t="s">
        <v>535</v>
      </c>
      <c r="F72" s="13" t="s">
        <v>740</v>
      </c>
      <c r="G72" s="15">
        <v>46112</v>
      </c>
      <c r="H72" s="15">
        <v>46784</v>
      </c>
      <c r="I72" s="17">
        <v>761</v>
      </c>
      <c r="J72" s="17">
        <v>510</v>
      </c>
      <c r="K72" s="17">
        <v>251</v>
      </c>
    </row>
    <row r="73" s="3" customFormat="1" customHeight="1" spans="1:11">
      <c r="A73" s="12" t="s">
        <v>741</v>
      </c>
      <c r="B73" s="13" t="s">
        <v>742</v>
      </c>
      <c r="C73" s="14" t="s">
        <v>108</v>
      </c>
      <c r="D73" s="14" t="s">
        <v>133</v>
      </c>
      <c r="E73" s="14" t="s">
        <v>535</v>
      </c>
      <c r="F73" s="13" t="s">
        <v>743</v>
      </c>
      <c r="G73" s="15">
        <v>46111</v>
      </c>
      <c r="H73" s="15">
        <v>46784</v>
      </c>
      <c r="I73" s="17">
        <v>882</v>
      </c>
      <c r="J73" s="17">
        <v>591</v>
      </c>
      <c r="K73" s="17">
        <v>291</v>
      </c>
    </row>
    <row r="74" s="3" customFormat="1" customHeight="1" spans="1:11">
      <c r="A74" s="12" t="s">
        <v>744</v>
      </c>
      <c r="B74" s="13" t="s">
        <v>745</v>
      </c>
      <c r="C74" s="14" t="s">
        <v>108</v>
      </c>
      <c r="D74" s="14" t="s">
        <v>133</v>
      </c>
      <c r="E74" s="14" t="s">
        <v>535</v>
      </c>
      <c r="F74" s="13" t="s">
        <v>746</v>
      </c>
      <c r="G74" s="15">
        <v>46111</v>
      </c>
      <c r="H74" s="15">
        <v>47177</v>
      </c>
      <c r="I74" s="17">
        <v>982</v>
      </c>
      <c r="J74" s="17">
        <v>658</v>
      </c>
      <c r="K74" s="17">
        <v>324</v>
      </c>
    </row>
    <row r="75" s="3" customFormat="1" customHeight="1" spans="1:11">
      <c r="A75" s="12" t="s">
        <v>747</v>
      </c>
      <c r="B75" s="13" t="s">
        <v>748</v>
      </c>
      <c r="C75" s="14" t="s">
        <v>186</v>
      </c>
      <c r="D75" s="14" t="s">
        <v>203</v>
      </c>
      <c r="E75" s="14" t="s">
        <v>535</v>
      </c>
      <c r="F75" s="13" t="s">
        <v>749</v>
      </c>
      <c r="G75" s="15">
        <v>46111</v>
      </c>
      <c r="H75" s="15">
        <v>46784</v>
      </c>
      <c r="I75" s="17">
        <v>931</v>
      </c>
      <c r="J75" s="17">
        <v>623</v>
      </c>
      <c r="K75" s="17">
        <v>308</v>
      </c>
    </row>
    <row r="76" s="3" customFormat="1" customHeight="1" spans="1:11">
      <c r="A76" s="12" t="s">
        <v>750</v>
      </c>
      <c r="B76" s="13" t="s">
        <v>751</v>
      </c>
      <c r="C76" s="14" t="s">
        <v>186</v>
      </c>
      <c r="D76" s="14" t="s">
        <v>203</v>
      </c>
      <c r="E76" s="14" t="s">
        <v>535</v>
      </c>
      <c r="F76" s="13" t="s">
        <v>752</v>
      </c>
      <c r="G76" s="15">
        <v>46111</v>
      </c>
      <c r="H76" s="15">
        <v>46784</v>
      </c>
      <c r="I76" s="17">
        <v>1455</v>
      </c>
      <c r="J76" s="17">
        <v>974</v>
      </c>
      <c r="K76" s="17">
        <v>481</v>
      </c>
    </row>
    <row r="77" s="3" customFormat="1" customHeight="1" spans="1:11">
      <c r="A77" s="12" t="s">
        <v>753</v>
      </c>
      <c r="B77" s="13" t="s">
        <v>754</v>
      </c>
      <c r="C77" s="14" t="s">
        <v>186</v>
      </c>
      <c r="D77" s="14" t="s">
        <v>203</v>
      </c>
      <c r="E77" s="14" t="s">
        <v>535</v>
      </c>
      <c r="F77" s="13" t="s">
        <v>755</v>
      </c>
      <c r="G77" s="15">
        <v>46111</v>
      </c>
      <c r="H77" s="15">
        <v>46784</v>
      </c>
      <c r="I77" s="17">
        <v>867</v>
      </c>
      <c r="J77" s="17">
        <v>580</v>
      </c>
      <c r="K77" s="17">
        <v>287</v>
      </c>
    </row>
    <row r="78" s="3" customFormat="1" customHeight="1" spans="1:11">
      <c r="A78" s="12" t="s">
        <v>756</v>
      </c>
      <c r="B78" s="13" t="s">
        <v>757</v>
      </c>
      <c r="C78" s="14" t="s">
        <v>186</v>
      </c>
      <c r="D78" s="14" t="s">
        <v>203</v>
      </c>
      <c r="E78" s="14" t="s">
        <v>535</v>
      </c>
      <c r="F78" s="13" t="s">
        <v>758</v>
      </c>
      <c r="G78" s="15">
        <v>46111</v>
      </c>
      <c r="H78" s="15">
        <v>46784</v>
      </c>
      <c r="I78" s="17">
        <v>861</v>
      </c>
      <c r="J78" s="17">
        <v>576</v>
      </c>
      <c r="K78" s="17">
        <v>285</v>
      </c>
    </row>
    <row r="79" s="3" customFormat="1" customHeight="1" spans="1:11">
      <c r="A79" s="12" t="s">
        <v>759</v>
      </c>
      <c r="B79" s="13" t="s">
        <v>760</v>
      </c>
      <c r="C79" s="14" t="s">
        <v>186</v>
      </c>
      <c r="D79" s="14" t="s">
        <v>203</v>
      </c>
      <c r="E79" s="14" t="s">
        <v>535</v>
      </c>
      <c r="F79" s="13" t="s">
        <v>761</v>
      </c>
      <c r="G79" s="15">
        <v>46111</v>
      </c>
      <c r="H79" s="15">
        <v>47150</v>
      </c>
      <c r="I79" s="17">
        <v>792</v>
      </c>
      <c r="J79" s="17">
        <v>530</v>
      </c>
      <c r="K79" s="17">
        <v>262</v>
      </c>
    </row>
    <row r="80" s="3" customFormat="1" customHeight="1" spans="1:11">
      <c r="A80" s="12" t="s">
        <v>762</v>
      </c>
      <c r="B80" s="13" t="s">
        <v>763</v>
      </c>
      <c r="C80" s="14" t="s">
        <v>186</v>
      </c>
      <c r="D80" s="14" t="s">
        <v>764</v>
      </c>
      <c r="E80" s="14" t="s">
        <v>535</v>
      </c>
      <c r="F80" s="13" t="s">
        <v>765</v>
      </c>
      <c r="G80" s="15">
        <v>46111</v>
      </c>
      <c r="H80" s="15">
        <v>47150</v>
      </c>
      <c r="I80" s="17">
        <v>941</v>
      </c>
      <c r="J80" s="17">
        <v>630</v>
      </c>
      <c r="K80" s="17">
        <v>311</v>
      </c>
    </row>
    <row r="81" s="3" customFormat="1" customHeight="1" spans="1:11">
      <c r="A81" s="12" t="s">
        <v>766</v>
      </c>
      <c r="B81" s="13" t="s">
        <v>767</v>
      </c>
      <c r="C81" s="14" t="s">
        <v>186</v>
      </c>
      <c r="D81" s="14" t="s">
        <v>764</v>
      </c>
      <c r="E81" s="14" t="s">
        <v>535</v>
      </c>
      <c r="F81" s="13" t="s">
        <v>768</v>
      </c>
      <c r="G81" s="15">
        <v>46111</v>
      </c>
      <c r="H81" s="15">
        <v>47150</v>
      </c>
      <c r="I81" s="17">
        <v>934</v>
      </c>
      <c r="J81" s="17">
        <v>625</v>
      </c>
      <c r="K81" s="17">
        <v>309</v>
      </c>
    </row>
    <row r="82" s="3" customFormat="1" customHeight="1" spans="1:11">
      <c r="A82" s="12" t="s">
        <v>769</v>
      </c>
      <c r="B82" s="13" t="s">
        <v>770</v>
      </c>
      <c r="C82" s="14" t="s">
        <v>186</v>
      </c>
      <c r="D82" s="14" t="s">
        <v>764</v>
      </c>
      <c r="E82" s="14" t="s">
        <v>535</v>
      </c>
      <c r="F82" s="13" t="s">
        <v>771</v>
      </c>
      <c r="G82" s="15">
        <v>46111</v>
      </c>
      <c r="H82" s="15">
        <v>47150</v>
      </c>
      <c r="I82" s="17">
        <v>908</v>
      </c>
      <c r="J82" s="17">
        <v>608</v>
      </c>
      <c r="K82" s="17">
        <v>300</v>
      </c>
    </row>
    <row r="83" s="3" customFormat="1" customHeight="1" spans="1:11">
      <c r="A83" s="12" t="s">
        <v>772</v>
      </c>
      <c r="B83" s="13" t="s">
        <v>773</v>
      </c>
      <c r="C83" s="14" t="s">
        <v>186</v>
      </c>
      <c r="D83" s="14" t="s">
        <v>764</v>
      </c>
      <c r="E83" s="14" t="s">
        <v>535</v>
      </c>
      <c r="F83" s="13" t="s">
        <v>774</v>
      </c>
      <c r="G83" s="15">
        <v>46111</v>
      </c>
      <c r="H83" s="15">
        <v>46784</v>
      </c>
      <c r="I83" s="17">
        <v>784</v>
      </c>
      <c r="J83" s="17">
        <v>525</v>
      </c>
      <c r="K83" s="17">
        <v>259</v>
      </c>
    </row>
    <row r="84" s="3" customFormat="1" customHeight="1" spans="1:11">
      <c r="A84" s="12" t="s">
        <v>775</v>
      </c>
      <c r="B84" s="13" t="s">
        <v>776</v>
      </c>
      <c r="C84" s="14" t="s">
        <v>186</v>
      </c>
      <c r="D84" s="14" t="s">
        <v>764</v>
      </c>
      <c r="E84" s="14" t="s">
        <v>535</v>
      </c>
      <c r="F84" s="13" t="s">
        <v>777</v>
      </c>
      <c r="G84" s="15">
        <v>46111</v>
      </c>
      <c r="H84" s="15">
        <v>47150</v>
      </c>
      <c r="I84" s="17">
        <v>1602</v>
      </c>
      <c r="J84" s="17">
        <v>1072</v>
      </c>
      <c r="K84" s="17">
        <v>530</v>
      </c>
    </row>
    <row r="85" s="3" customFormat="1" customHeight="1" spans="1:11">
      <c r="A85" s="12" t="s">
        <v>778</v>
      </c>
      <c r="B85" s="13" t="s">
        <v>779</v>
      </c>
      <c r="C85" s="14" t="s">
        <v>186</v>
      </c>
      <c r="D85" s="14" t="s">
        <v>780</v>
      </c>
      <c r="E85" s="14" t="s">
        <v>535</v>
      </c>
      <c r="F85" s="13" t="s">
        <v>781</v>
      </c>
      <c r="G85" s="15">
        <v>46111</v>
      </c>
      <c r="H85" s="15">
        <v>46784</v>
      </c>
      <c r="I85" s="17">
        <v>1494</v>
      </c>
      <c r="J85" s="17">
        <v>1000</v>
      </c>
      <c r="K85" s="17">
        <v>494</v>
      </c>
    </row>
    <row r="86" s="3" customFormat="1" customHeight="1" spans="1:11">
      <c r="A86" s="12" t="s">
        <v>782</v>
      </c>
      <c r="B86" s="13" t="s">
        <v>783</v>
      </c>
      <c r="C86" s="14" t="s">
        <v>186</v>
      </c>
      <c r="D86" s="14" t="s">
        <v>780</v>
      </c>
      <c r="E86" s="14" t="s">
        <v>535</v>
      </c>
      <c r="F86" s="13" t="s">
        <v>784</v>
      </c>
      <c r="G86" s="15">
        <v>46111</v>
      </c>
      <c r="H86" s="15">
        <v>47150</v>
      </c>
      <c r="I86" s="17">
        <v>1231</v>
      </c>
      <c r="J86" s="17">
        <v>824</v>
      </c>
      <c r="K86" s="17">
        <v>407</v>
      </c>
    </row>
    <row r="87" s="3" customFormat="1" customHeight="1" spans="1:11">
      <c r="A87" s="12" t="s">
        <v>785</v>
      </c>
      <c r="B87" s="13" t="s">
        <v>786</v>
      </c>
      <c r="C87" s="14" t="s">
        <v>186</v>
      </c>
      <c r="D87" s="14" t="s">
        <v>780</v>
      </c>
      <c r="E87" s="14" t="s">
        <v>535</v>
      </c>
      <c r="F87" s="13" t="s">
        <v>787</v>
      </c>
      <c r="G87" s="15">
        <v>46111</v>
      </c>
      <c r="H87" s="15">
        <v>46784</v>
      </c>
      <c r="I87" s="17">
        <v>1457</v>
      </c>
      <c r="J87" s="17">
        <v>975</v>
      </c>
      <c r="K87" s="17">
        <v>482</v>
      </c>
    </row>
    <row r="88" s="3" customFormat="1" customHeight="1" spans="1:11">
      <c r="A88" s="12" t="s">
        <v>788</v>
      </c>
      <c r="B88" s="13" t="s">
        <v>789</v>
      </c>
      <c r="C88" s="14" t="s">
        <v>186</v>
      </c>
      <c r="D88" s="14" t="s">
        <v>780</v>
      </c>
      <c r="E88" s="14" t="s">
        <v>535</v>
      </c>
      <c r="F88" s="13" t="s">
        <v>790</v>
      </c>
      <c r="G88" s="15">
        <v>46111</v>
      </c>
      <c r="H88" s="15">
        <v>46784</v>
      </c>
      <c r="I88" s="17">
        <v>1363</v>
      </c>
      <c r="J88" s="17">
        <v>912</v>
      </c>
      <c r="K88" s="17">
        <v>451</v>
      </c>
    </row>
    <row r="89" s="3" customFormat="1" customHeight="1" spans="1:11">
      <c r="A89" s="12" t="s">
        <v>791</v>
      </c>
      <c r="B89" s="13" t="s">
        <v>792</v>
      </c>
      <c r="C89" s="14" t="s">
        <v>186</v>
      </c>
      <c r="D89" s="14" t="s">
        <v>780</v>
      </c>
      <c r="E89" s="14" t="s">
        <v>304</v>
      </c>
      <c r="F89" s="13" t="s">
        <v>793</v>
      </c>
      <c r="G89" s="15">
        <v>46111</v>
      </c>
      <c r="H89" s="15">
        <v>47150</v>
      </c>
      <c r="I89" s="17">
        <v>852</v>
      </c>
      <c r="J89" s="17">
        <v>570</v>
      </c>
      <c r="K89" s="17">
        <v>282</v>
      </c>
    </row>
    <row r="90" s="3" customFormat="1" customHeight="1" spans="1:11">
      <c r="A90" s="12" t="s">
        <v>794</v>
      </c>
      <c r="B90" s="13" t="s">
        <v>795</v>
      </c>
      <c r="C90" s="14" t="s">
        <v>186</v>
      </c>
      <c r="D90" s="14" t="s">
        <v>780</v>
      </c>
      <c r="E90" s="14" t="s">
        <v>535</v>
      </c>
      <c r="F90" s="13" t="s">
        <v>796</v>
      </c>
      <c r="G90" s="15">
        <v>46111</v>
      </c>
      <c r="H90" s="15">
        <v>47150</v>
      </c>
      <c r="I90" s="17">
        <v>1195</v>
      </c>
      <c r="J90" s="17">
        <v>800</v>
      </c>
      <c r="K90" s="17">
        <v>395</v>
      </c>
    </row>
    <row r="91" s="3" customFormat="1" customHeight="1" spans="1:11">
      <c r="A91" s="12" t="s">
        <v>797</v>
      </c>
      <c r="B91" s="13" t="s">
        <v>798</v>
      </c>
      <c r="C91" s="14" t="s">
        <v>186</v>
      </c>
      <c r="D91" s="14" t="s">
        <v>780</v>
      </c>
      <c r="E91" s="14" t="s">
        <v>535</v>
      </c>
      <c r="F91" s="13" t="s">
        <v>799</v>
      </c>
      <c r="G91" s="15">
        <v>46111</v>
      </c>
      <c r="H91" s="15">
        <v>47150</v>
      </c>
      <c r="I91" s="17">
        <v>840</v>
      </c>
      <c r="J91" s="17">
        <v>562</v>
      </c>
      <c r="K91" s="17">
        <v>278</v>
      </c>
    </row>
    <row r="92" s="3" customFormat="1" customHeight="1" spans="1:11">
      <c r="A92" s="12" t="s">
        <v>800</v>
      </c>
      <c r="B92" s="13" t="s">
        <v>801</v>
      </c>
      <c r="C92" s="14" t="s">
        <v>186</v>
      </c>
      <c r="D92" s="14" t="s">
        <v>195</v>
      </c>
      <c r="E92" s="14" t="s">
        <v>535</v>
      </c>
      <c r="F92" s="13" t="s">
        <v>802</v>
      </c>
      <c r="G92" s="15">
        <v>46111</v>
      </c>
      <c r="H92" s="15">
        <v>47150</v>
      </c>
      <c r="I92" s="17">
        <v>856</v>
      </c>
      <c r="J92" s="17">
        <v>573</v>
      </c>
      <c r="K92" s="17">
        <v>283</v>
      </c>
    </row>
    <row r="93" s="3" customFormat="1" customHeight="1" spans="1:11">
      <c r="A93" s="12" t="s">
        <v>803</v>
      </c>
      <c r="B93" s="13" t="s">
        <v>804</v>
      </c>
      <c r="C93" s="14" t="s">
        <v>186</v>
      </c>
      <c r="D93" s="14" t="s">
        <v>195</v>
      </c>
      <c r="E93" s="14" t="s">
        <v>535</v>
      </c>
      <c r="F93" s="13" t="s">
        <v>805</v>
      </c>
      <c r="G93" s="15">
        <v>46111</v>
      </c>
      <c r="H93" s="15">
        <v>46784</v>
      </c>
      <c r="I93" s="17">
        <v>1079</v>
      </c>
      <c r="J93" s="17">
        <v>722</v>
      </c>
      <c r="K93" s="17">
        <v>357</v>
      </c>
    </row>
    <row r="94" s="3" customFormat="1" customHeight="1" spans="1:11">
      <c r="A94" s="12" t="s">
        <v>806</v>
      </c>
      <c r="B94" s="13" t="s">
        <v>807</v>
      </c>
      <c r="C94" s="14" t="s">
        <v>186</v>
      </c>
      <c r="D94" s="14" t="s">
        <v>195</v>
      </c>
      <c r="E94" s="14" t="s">
        <v>535</v>
      </c>
      <c r="F94" s="13" t="s">
        <v>808</v>
      </c>
      <c r="G94" s="15">
        <v>46111</v>
      </c>
      <c r="H94" s="15">
        <v>46784</v>
      </c>
      <c r="I94" s="17">
        <v>1195</v>
      </c>
      <c r="J94" s="17">
        <v>800</v>
      </c>
      <c r="K94" s="17">
        <v>395</v>
      </c>
    </row>
    <row r="95" s="3" customFormat="1" customHeight="1" spans="1:11">
      <c r="A95" s="12" t="s">
        <v>809</v>
      </c>
      <c r="B95" s="13" t="s">
        <v>810</v>
      </c>
      <c r="C95" s="14" t="s">
        <v>186</v>
      </c>
      <c r="D95" s="14" t="s">
        <v>195</v>
      </c>
      <c r="E95" s="14" t="s">
        <v>535</v>
      </c>
      <c r="F95" s="13" t="s">
        <v>811</v>
      </c>
      <c r="G95" s="15">
        <v>46111</v>
      </c>
      <c r="H95" s="15">
        <v>46784</v>
      </c>
      <c r="I95" s="17">
        <v>846</v>
      </c>
      <c r="J95" s="17">
        <v>566</v>
      </c>
      <c r="K95" s="17">
        <v>280</v>
      </c>
    </row>
    <row r="96" s="3" customFormat="1" customHeight="1" spans="1:11">
      <c r="A96" s="12" t="s">
        <v>812</v>
      </c>
      <c r="B96" s="13" t="s">
        <v>813</v>
      </c>
      <c r="C96" s="14" t="s">
        <v>186</v>
      </c>
      <c r="D96" s="14" t="s">
        <v>195</v>
      </c>
      <c r="E96" s="14" t="s">
        <v>535</v>
      </c>
      <c r="F96" s="13" t="s">
        <v>814</v>
      </c>
      <c r="G96" s="15">
        <v>46111</v>
      </c>
      <c r="H96" s="15">
        <v>46784</v>
      </c>
      <c r="I96" s="17">
        <v>840</v>
      </c>
      <c r="J96" s="17">
        <v>562</v>
      </c>
      <c r="K96" s="17">
        <v>278</v>
      </c>
    </row>
    <row r="97" s="3" customFormat="1" customHeight="1" spans="1:11">
      <c r="A97" s="12" t="s">
        <v>815</v>
      </c>
      <c r="B97" s="13" t="s">
        <v>816</v>
      </c>
      <c r="C97" s="14" t="s">
        <v>186</v>
      </c>
      <c r="D97" s="14" t="s">
        <v>195</v>
      </c>
      <c r="E97" s="14" t="s">
        <v>535</v>
      </c>
      <c r="F97" s="13" t="s">
        <v>817</v>
      </c>
      <c r="G97" s="15">
        <v>46111</v>
      </c>
      <c r="H97" s="15">
        <v>46784</v>
      </c>
      <c r="I97" s="17">
        <v>849</v>
      </c>
      <c r="J97" s="17">
        <v>568</v>
      </c>
      <c r="K97" s="17">
        <v>281</v>
      </c>
    </row>
    <row r="98" s="3" customFormat="1" customHeight="1" spans="1:11">
      <c r="A98" s="12" t="s">
        <v>818</v>
      </c>
      <c r="B98" s="13" t="s">
        <v>819</v>
      </c>
      <c r="C98" s="14" t="s">
        <v>186</v>
      </c>
      <c r="D98" s="14" t="s">
        <v>195</v>
      </c>
      <c r="E98" s="14" t="s">
        <v>535</v>
      </c>
      <c r="F98" s="13" t="s">
        <v>820</v>
      </c>
      <c r="G98" s="15">
        <v>46111</v>
      </c>
      <c r="H98" s="15">
        <v>46784</v>
      </c>
      <c r="I98" s="17">
        <v>832</v>
      </c>
      <c r="J98" s="17">
        <v>557</v>
      </c>
      <c r="K98" s="17">
        <v>275</v>
      </c>
    </row>
    <row r="99" s="3" customFormat="1" customHeight="1" spans="1:11">
      <c r="A99" s="12" t="s">
        <v>821</v>
      </c>
      <c r="B99" s="13" t="s">
        <v>822</v>
      </c>
      <c r="C99" s="14" t="s">
        <v>186</v>
      </c>
      <c r="D99" s="14" t="s">
        <v>195</v>
      </c>
      <c r="E99" s="14" t="s">
        <v>535</v>
      </c>
      <c r="F99" s="13" t="s">
        <v>823</v>
      </c>
      <c r="G99" s="15">
        <v>46111</v>
      </c>
      <c r="H99" s="15">
        <v>46784</v>
      </c>
      <c r="I99" s="17">
        <v>850</v>
      </c>
      <c r="J99" s="17">
        <v>569</v>
      </c>
      <c r="K99" s="17">
        <v>281</v>
      </c>
    </row>
    <row r="100" s="3" customFormat="1" customHeight="1" spans="1:11">
      <c r="A100" s="12" t="s">
        <v>824</v>
      </c>
      <c r="B100" s="13" t="s">
        <v>825</v>
      </c>
      <c r="C100" s="14" t="s">
        <v>186</v>
      </c>
      <c r="D100" s="14" t="s">
        <v>195</v>
      </c>
      <c r="E100" s="14" t="s">
        <v>535</v>
      </c>
      <c r="F100" s="13" t="s">
        <v>826</v>
      </c>
      <c r="G100" s="15">
        <v>46111</v>
      </c>
      <c r="H100" s="15">
        <v>46784</v>
      </c>
      <c r="I100" s="17">
        <v>807</v>
      </c>
      <c r="J100" s="17">
        <v>540</v>
      </c>
      <c r="K100" s="17">
        <v>267</v>
      </c>
    </row>
    <row r="101" s="3" customFormat="1" customHeight="1" spans="1:11">
      <c r="A101" s="12" t="s">
        <v>827</v>
      </c>
      <c r="B101" s="13" t="s">
        <v>828</v>
      </c>
      <c r="C101" s="14" t="s">
        <v>186</v>
      </c>
      <c r="D101" s="14" t="s">
        <v>195</v>
      </c>
      <c r="E101" s="14" t="s">
        <v>535</v>
      </c>
      <c r="F101" s="13" t="s">
        <v>829</v>
      </c>
      <c r="G101" s="15">
        <v>46111</v>
      </c>
      <c r="H101" s="15">
        <v>46784</v>
      </c>
      <c r="I101" s="17">
        <v>807</v>
      </c>
      <c r="J101" s="17">
        <v>540</v>
      </c>
      <c r="K101" s="17">
        <v>267</v>
      </c>
    </row>
    <row r="102" s="3" customFormat="1" customHeight="1" spans="1:11">
      <c r="A102" s="12" t="s">
        <v>830</v>
      </c>
      <c r="B102" s="13" t="s">
        <v>831</v>
      </c>
      <c r="C102" s="14" t="s">
        <v>186</v>
      </c>
      <c r="D102" s="14" t="s">
        <v>195</v>
      </c>
      <c r="E102" s="14" t="s">
        <v>535</v>
      </c>
      <c r="F102" s="13" t="s">
        <v>832</v>
      </c>
      <c r="G102" s="15">
        <v>46111</v>
      </c>
      <c r="H102" s="15">
        <v>46784</v>
      </c>
      <c r="I102" s="17">
        <v>928</v>
      </c>
      <c r="J102" s="17">
        <v>621</v>
      </c>
      <c r="K102" s="17">
        <v>307</v>
      </c>
    </row>
    <row r="103" s="3" customFormat="1" customHeight="1" spans="1:11">
      <c r="A103" s="12" t="s">
        <v>833</v>
      </c>
      <c r="B103" s="13" t="s">
        <v>834</v>
      </c>
      <c r="C103" s="14" t="s">
        <v>186</v>
      </c>
      <c r="D103" s="14" t="s">
        <v>195</v>
      </c>
      <c r="E103" s="14" t="s">
        <v>535</v>
      </c>
      <c r="F103" s="13" t="s">
        <v>835</v>
      </c>
      <c r="G103" s="15">
        <v>46111</v>
      </c>
      <c r="H103" s="15">
        <v>46784</v>
      </c>
      <c r="I103" s="17">
        <v>950</v>
      </c>
      <c r="J103" s="17">
        <v>636</v>
      </c>
      <c r="K103" s="17">
        <v>314</v>
      </c>
    </row>
    <row r="104" s="3" customFormat="1" customHeight="1" spans="1:11">
      <c r="A104" s="12" t="s">
        <v>836</v>
      </c>
      <c r="B104" s="13" t="s">
        <v>837</v>
      </c>
      <c r="C104" s="14" t="s">
        <v>186</v>
      </c>
      <c r="D104" s="14" t="s">
        <v>195</v>
      </c>
      <c r="E104" s="14" t="s">
        <v>535</v>
      </c>
      <c r="F104" s="13" t="s">
        <v>838</v>
      </c>
      <c r="G104" s="15">
        <v>46111</v>
      </c>
      <c r="H104" s="15">
        <v>46784</v>
      </c>
      <c r="I104" s="17">
        <v>935</v>
      </c>
      <c r="J104" s="17">
        <v>626</v>
      </c>
      <c r="K104" s="17">
        <v>309</v>
      </c>
    </row>
    <row r="105" s="3" customFormat="1" customHeight="1" spans="1:11">
      <c r="A105" s="12" t="s">
        <v>839</v>
      </c>
      <c r="B105" s="13" t="s">
        <v>840</v>
      </c>
      <c r="C105" s="14" t="s">
        <v>186</v>
      </c>
      <c r="D105" s="14" t="s">
        <v>195</v>
      </c>
      <c r="E105" s="14" t="s">
        <v>535</v>
      </c>
      <c r="F105" s="13" t="s">
        <v>841</v>
      </c>
      <c r="G105" s="15">
        <v>46111</v>
      </c>
      <c r="H105" s="15">
        <v>46784</v>
      </c>
      <c r="I105" s="17">
        <v>916</v>
      </c>
      <c r="J105" s="17">
        <v>613</v>
      </c>
      <c r="K105" s="17">
        <v>303</v>
      </c>
    </row>
    <row r="106" s="3" customFormat="1" customHeight="1" spans="1:11">
      <c r="A106" s="12" t="s">
        <v>842</v>
      </c>
      <c r="B106" s="13" t="s">
        <v>843</v>
      </c>
      <c r="C106" s="14" t="s">
        <v>186</v>
      </c>
      <c r="D106" s="14" t="s">
        <v>844</v>
      </c>
      <c r="E106" s="14" t="s">
        <v>535</v>
      </c>
      <c r="F106" s="13" t="s">
        <v>845</v>
      </c>
      <c r="G106" s="15">
        <v>46111</v>
      </c>
      <c r="H106" s="15">
        <v>46784</v>
      </c>
      <c r="I106" s="17">
        <v>1464</v>
      </c>
      <c r="J106" s="17">
        <v>980</v>
      </c>
      <c r="K106" s="17">
        <v>484</v>
      </c>
    </row>
    <row r="107" s="3" customFormat="1" customHeight="1" spans="1:11">
      <c r="A107" s="12" t="s">
        <v>846</v>
      </c>
      <c r="B107" s="13" t="s">
        <v>847</v>
      </c>
      <c r="C107" s="14" t="s">
        <v>186</v>
      </c>
      <c r="D107" s="14" t="s">
        <v>844</v>
      </c>
      <c r="E107" s="14" t="s">
        <v>535</v>
      </c>
      <c r="F107" s="13" t="s">
        <v>848</v>
      </c>
      <c r="G107" s="15">
        <v>46111</v>
      </c>
      <c r="H107" s="15">
        <v>47150</v>
      </c>
      <c r="I107" s="17">
        <v>870</v>
      </c>
      <c r="J107" s="17">
        <v>582</v>
      </c>
      <c r="K107" s="17">
        <v>288</v>
      </c>
    </row>
    <row r="108" s="3" customFormat="1" customHeight="1" spans="1:11">
      <c r="A108" s="12" t="s">
        <v>849</v>
      </c>
      <c r="B108" s="13" t="s">
        <v>850</v>
      </c>
      <c r="C108" s="14" t="s">
        <v>186</v>
      </c>
      <c r="D108" s="14" t="s">
        <v>844</v>
      </c>
      <c r="E108" s="14" t="s">
        <v>535</v>
      </c>
      <c r="F108" s="13" t="s">
        <v>851</v>
      </c>
      <c r="G108" s="15">
        <v>46111</v>
      </c>
      <c r="H108" s="15">
        <v>47150</v>
      </c>
      <c r="I108" s="17">
        <v>861</v>
      </c>
      <c r="J108" s="17">
        <v>576</v>
      </c>
      <c r="K108" s="17">
        <v>285</v>
      </c>
    </row>
    <row r="109" s="3" customFormat="1" customHeight="1" spans="1:11">
      <c r="A109" s="12" t="s">
        <v>852</v>
      </c>
      <c r="B109" s="13" t="s">
        <v>282</v>
      </c>
      <c r="C109" s="14" t="s">
        <v>242</v>
      </c>
      <c r="D109" s="14" t="s">
        <v>247</v>
      </c>
      <c r="E109" s="14" t="s">
        <v>535</v>
      </c>
      <c r="F109" s="13" t="s">
        <v>853</v>
      </c>
      <c r="G109" s="15">
        <v>46111</v>
      </c>
      <c r="H109" s="15">
        <v>47150</v>
      </c>
      <c r="I109" s="17">
        <v>961</v>
      </c>
      <c r="J109" s="17">
        <v>643</v>
      </c>
      <c r="K109" s="17">
        <v>318</v>
      </c>
    </row>
    <row r="110" s="3" customFormat="1" customHeight="1" spans="1:11">
      <c r="A110" s="12" t="s">
        <v>854</v>
      </c>
      <c r="B110" s="13" t="s">
        <v>855</v>
      </c>
      <c r="C110" s="14" t="s">
        <v>242</v>
      </c>
      <c r="D110" s="14" t="s">
        <v>247</v>
      </c>
      <c r="E110" s="14" t="s">
        <v>535</v>
      </c>
      <c r="F110" s="13" t="s">
        <v>856</v>
      </c>
      <c r="G110" s="15">
        <v>46111</v>
      </c>
      <c r="H110" s="15">
        <v>47150</v>
      </c>
      <c r="I110" s="17">
        <v>1005</v>
      </c>
      <c r="J110" s="17">
        <v>673</v>
      </c>
      <c r="K110" s="17">
        <v>332</v>
      </c>
    </row>
    <row r="111" s="3" customFormat="1" customHeight="1" spans="1:11">
      <c r="A111" s="12" t="s">
        <v>857</v>
      </c>
      <c r="B111" s="13" t="s">
        <v>858</v>
      </c>
      <c r="C111" s="14" t="s">
        <v>242</v>
      </c>
      <c r="D111" s="14" t="s">
        <v>247</v>
      </c>
      <c r="E111" s="14" t="s">
        <v>535</v>
      </c>
      <c r="F111" s="13" t="s">
        <v>859</v>
      </c>
      <c r="G111" s="15">
        <v>46111</v>
      </c>
      <c r="H111" s="15">
        <v>47150</v>
      </c>
      <c r="I111" s="17">
        <v>1076</v>
      </c>
      <c r="J111" s="17">
        <v>720</v>
      </c>
      <c r="K111" s="17">
        <v>356</v>
      </c>
    </row>
    <row r="112" s="3" customFormat="1" customHeight="1" spans="1:11">
      <c r="A112" s="12" t="s">
        <v>860</v>
      </c>
      <c r="B112" s="13" t="s">
        <v>861</v>
      </c>
      <c r="C112" s="14" t="s">
        <v>242</v>
      </c>
      <c r="D112" s="14" t="s">
        <v>247</v>
      </c>
      <c r="E112" s="14" t="s">
        <v>535</v>
      </c>
      <c r="F112" s="13" t="s">
        <v>862</v>
      </c>
      <c r="G112" s="15">
        <v>46111</v>
      </c>
      <c r="H112" s="15">
        <v>47150</v>
      </c>
      <c r="I112" s="17">
        <v>1014</v>
      </c>
      <c r="J112" s="17">
        <v>679</v>
      </c>
      <c r="K112" s="17">
        <v>335</v>
      </c>
    </row>
    <row r="113" s="3" customFormat="1" customHeight="1" spans="1:11">
      <c r="A113" s="12" t="s">
        <v>863</v>
      </c>
      <c r="B113" s="13" t="s">
        <v>864</v>
      </c>
      <c r="C113" s="14" t="s">
        <v>242</v>
      </c>
      <c r="D113" s="14" t="s">
        <v>247</v>
      </c>
      <c r="E113" s="14" t="s">
        <v>535</v>
      </c>
      <c r="F113" s="13" t="s">
        <v>865</v>
      </c>
      <c r="G113" s="15">
        <v>46111</v>
      </c>
      <c r="H113" s="15">
        <v>47150</v>
      </c>
      <c r="I113" s="17">
        <v>974</v>
      </c>
      <c r="J113" s="17">
        <v>652</v>
      </c>
      <c r="K113" s="17">
        <v>322</v>
      </c>
    </row>
    <row r="114" s="3" customFormat="1" customHeight="1" spans="1:11">
      <c r="A114" s="12" t="s">
        <v>866</v>
      </c>
      <c r="B114" s="13" t="s">
        <v>867</v>
      </c>
      <c r="C114" s="14" t="s">
        <v>242</v>
      </c>
      <c r="D114" s="14" t="s">
        <v>247</v>
      </c>
      <c r="E114" s="14" t="s">
        <v>535</v>
      </c>
      <c r="F114" s="13" t="s">
        <v>868</v>
      </c>
      <c r="G114" s="15">
        <v>46111</v>
      </c>
      <c r="H114" s="15">
        <v>47150</v>
      </c>
      <c r="I114" s="17">
        <v>944</v>
      </c>
      <c r="J114" s="17">
        <v>632</v>
      </c>
      <c r="K114" s="17">
        <v>312</v>
      </c>
    </row>
    <row r="115" s="3" customFormat="1" customHeight="1" spans="1:11">
      <c r="A115" s="12" t="s">
        <v>869</v>
      </c>
      <c r="B115" s="13" t="s">
        <v>870</v>
      </c>
      <c r="C115" s="14" t="s">
        <v>242</v>
      </c>
      <c r="D115" s="14" t="s">
        <v>247</v>
      </c>
      <c r="E115" s="14" t="s">
        <v>535</v>
      </c>
      <c r="F115" s="13" t="s">
        <v>871</v>
      </c>
      <c r="G115" s="15">
        <v>46111</v>
      </c>
      <c r="H115" s="15">
        <v>47150</v>
      </c>
      <c r="I115" s="17">
        <v>946</v>
      </c>
      <c r="J115" s="17">
        <v>633</v>
      </c>
      <c r="K115" s="17">
        <v>313</v>
      </c>
    </row>
    <row r="116" s="3" customFormat="1" customHeight="1" spans="1:11">
      <c r="A116" s="12" t="s">
        <v>872</v>
      </c>
      <c r="B116" s="13" t="s">
        <v>873</v>
      </c>
      <c r="C116" s="14" t="s">
        <v>242</v>
      </c>
      <c r="D116" s="14" t="s">
        <v>247</v>
      </c>
      <c r="E116" s="14" t="s">
        <v>535</v>
      </c>
      <c r="F116" s="13" t="s">
        <v>874</v>
      </c>
      <c r="G116" s="15">
        <v>46111</v>
      </c>
      <c r="H116" s="15">
        <v>47150</v>
      </c>
      <c r="I116" s="17">
        <v>929</v>
      </c>
      <c r="J116" s="17">
        <v>622</v>
      </c>
      <c r="K116" s="17">
        <v>307</v>
      </c>
    </row>
    <row r="117" s="3" customFormat="1" customHeight="1" spans="1:11">
      <c r="A117" s="12" t="s">
        <v>875</v>
      </c>
      <c r="B117" s="13" t="s">
        <v>876</v>
      </c>
      <c r="C117" s="14" t="s">
        <v>242</v>
      </c>
      <c r="D117" s="14" t="s">
        <v>877</v>
      </c>
      <c r="E117" s="14" t="s">
        <v>535</v>
      </c>
      <c r="F117" s="13" t="s">
        <v>878</v>
      </c>
      <c r="G117" s="15">
        <v>46111</v>
      </c>
      <c r="H117" s="15">
        <v>47150</v>
      </c>
      <c r="I117" s="17">
        <v>893</v>
      </c>
      <c r="J117" s="17">
        <v>598</v>
      </c>
      <c r="K117" s="17">
        <v>295</v>
      </c>
    </row>
    <row r="118" s="3" customFormat="1" customHeight="1" spans="1:11">
      <c r="A118" s="12" t="s">
        <v>879</v>
      </c>
      <c r="B118" s="13" t="s">
        <v>880</v>
      </c>
      <c r="C118" s="14" t="s">
        <v>242</v>
      </c>
      <c r="D118" s="14" t="s">
        <v>877</v>
      </c>
      <c r="E118" s="14" t="s">
        <v>535</v>
      </c>
      <c r="F118" s="13" t="s">
        <v>881</v>
      </c>
      <c r="G118" s="15">
        <v>46111</v>
      </c>
      <c r="H118" s="15">
        <v>47150</v>
      </c>
      <c r="I118" s="17">
        <v>1077</v>
      </c>
      <c r="J118" s="17">
        <v>721</v>
      </c>
      <c r="K118" s="17">
        <v>356</v>
      </c>
    </row>
    <row r="119" s="3" customFormat="1" customHeight="1" spans="1:11">
      <c r="A119" s="12" t="s">
        <v>882</v>
      </c>
      <c r="B119" s="13" t="s">
        <v>883</v>
      </c>
      <c r="C119" s="14" t="s">
        <v>242</v>
      </c>
      <c r="D119" s="14" t="s">
        <v>877</v>
      </c>
      <c r="E119" s="14" t="s">
        <v>535</v>
      </c>
      <c r="F119" s="13" t="s">
        <v>884</v>
      </c>
      <c r="G119" s="15">
        <v>46111</v>
      </c>
      <c r="H119" s="15">
        <v>47150</v>
      </c>
      <c r="I119" s="17">
        <v>949</v>
      </c>
      <c r="J119" s="17">
        <v>635</v>
      </c>
      <c r="K119" s="17">
        <v>314</v>
      </c>
    </row>
    <row r="120" s="3" customFormat="1" customHeight="1" spans="1:11">
      <c r="A120" s="12" t="s">
        <v>885</v>
      </c>
      <c r="B120" s="13" t="s">
        <v>886</v>
      </c>
      <c r="C120" s="14" t="s">
        <v>242</v>
      </c>
      <c r="D120" s="14" t="s">
        <v>877</v>
      </c>
      <c r="E120" s="14" t="s">
        <v>535</v>
      </c>
      <c r="F120" s="13" t="s">
        <v>887</v>
      </c>
      <c r="G120" s="15">
        <v>46111</v>
      </c>
      <c r="H120" s="15">
        <v>47150</v>
      </c>
      <c r="I120" s="17">
        <v>914</v>
      </c>
      <c r="J120" s="17">
        <v>612</v>
      </c>
      <c r="K120" s="17">
        <v>302</v>
      </c>
    </row>
    <row r="121" s="3" customFormat="1" customHeight="1" spans="1:11">
      <c r="A121" s="12" t="s">
        <v>888</v>
      </c>
      <c r="B121" s="13" t="s">
        <v>889</v>
      </c>
      <c r="C121" s="14" t="s">
        <v>242</v>
      </c>
      <c r="D121" s="14" t="s">
        <v>877</v>
      </c>
      <c r="E121" s="14" t="s">
        <v>535</v>
      </c>
      <c r="F121" s="13" t="s">
        <v>890</v>
      </c>
      <c r="G121" s="15">
        <v>46111</v>
      </c>
      <c r="H121" s="15">
        <v>47150</v>
      </c>
      <c r="I121" s="17">
        <v>947</v>
      </c>
      <c r="J121" s="17">
        <v>634</v>
      </c>
      <c r="K121" s="17">
        <v>313</v>
      </c>
    </row>
    <row r="122" s="3" customFormat="1" customHeight="1" spans="1:11">
      <c r="A122" s="12" t="s">
        <v>891</v>
      </c>
      <c r="B122" s="13" t="s">
        <v>892</v>
      </c>
      <c r="C122" s="14" t="s">
        <v>242</v>
      </c>
      <c r="D122" s="14" t="s">
        <v>877</v>
      </c>
      <c r="E122" s="14" t="s">
        <v>535</v>
      </c>
      <c r="F122" s="13" t="s">
        <v>893</v>
      </c>
      <c r="G122" s="15">
        <v>46111</v>
      </c>
      <c r="H122" s="15">
        <v>47150</v>
      </c>
      <c r="I122" s="17">
        <v>928</v>
      </c>
      <c r="J122" s="17">
        <v>621</v>
      </c>
      <c r="K122" s="17">
        <v>307</v>
      </c>
    </row>
    <row r="123" s="3" customFormat="1" customHeight="1" spans="1:11">
      <c r="A123" s="12" t="s">
        <v>894</v>
      </c>
      <c r="B123" s="13" t="s">
        <v>895</v>
      </c>
      <c r="C123" s="14" t="s">
        <v>242</v>
      </c>
      <c r="D123" s="14" t="s">
        <v>877</v>
      </c>
      <c r="E123" s="14" t="s">
        <v>535</v>
      </c>
      <c r="F123" s="13" t="s">
        <v>896</v>
      </c>
      <c r="G123" s="15">
        <v>46111</v>
      </c>
      <c r="H123" s="15">
        <v>47150</v>
      </c>
      <c r="I123" s="17">
        <v>946</v>
      </c>
      <c r="J123" s="17">
        <v>633</v>
      </c>
      <c r="K123" s="17">
        <v>313</v>
      </c>
    </row>
    <row r="124" s="3" customFormat="1" customHeight="1" spans="1:11">
      <c r="A124" s="12" t="s">
        <v>897</v>
      </c>
      <c r="B124" s="13" t="s">
        <v>898</v>
      </c>
      <c r="C124" s="14" t="s">
        <v>242</v>
      </c>
      <c r="D124" s="14" t="s">
        <v>877</v>
      </c>
      <c r="E124" s="14" t="s">
        <v>535</v>
      </c>
      <c r="F124" s="13" t="s">
        <v>899</v>
      </c>
      <c r="G124" s="15">
        <v>46111</v>
      </c>
      <c r="H124" s="15">
        <v>47150</v>
      </c>
      <c r="I124" s="17">
        <v>934</v>
      </c>
      <c r="J124" s="17">
        <v>625</v>
      </c>
      <c r="K124" s="17">
        <v>309</v>
      </c>
    </row>
    <row r="125" s="3" customFormat="1" customHeight="1" spans="1:11">
      <c r="A125" s="12" t="s">
        <v>900</v>
      </c>
      <c r="B125" s="13" t="s">
        <v>901</v>
      </c>
      <c r="C125" s="14" t="s">
        <v>242</v>
      </c>
      <c r="D125" s="14" t="s">
        <v>877</v>
      </c>
      <c r="E125" s="14" t="s">
        <v>535</v>
      </c>
      <c r="F125" s="13" t="s">
        <v>902</v>
      </c>
      <c r="G125" s="15">
        <v>46111</v>
      </c>
      <c r="H125" s="15">
        <v>47150</v>
      </c>
      <c r="I125" s="17">
        <v>928</v>
      </c>
      <c r="J125" s="17">
        <v>621</v>
      </c>
      <c r="K125" s="17">
        <v>307</v>
      </c>
    </row>
    <row r="126" s="3" customFormat="1" customHeight="1" spans="1:11">
      <c r="A126" s="12" t="s">
        <v>903</v>
      </c>
      <c r="B126" s="13" t="s">
        <v>904</v>
      </c>
      <c r="C126" s="14" t="s">
        <v>242</v>
      </c>
      <c r="D126" s="14" t="s">
        <v>877</v>
      </c>
      <c r="E126" s="14" t="s">
        <v>535</v>
      </c>
      <c r="F126" s="13" t="s">
        <v>905</v>
      </c>
      <c r="G126" s="15">
        <v>46111</v>
      </c>
      <c r="H126" s="15">
        <v>47150</v>
      </c>
      <c r="I126" s="17">
        <v>929</v>
      </c>
      <c r="J126" s="17">
        <v>622</v>
      </c>
      <c r="K126" s="17">
        <v>307</v>
      </c>
    </row>
    <row r="127" s="3" customFormat="1" customHeight="1" spans="1:11">
      <c r="A127" s="12" t="s">
        <v>906</v>
      </c>
      <c r="B127" s="13" t="s">
        <v>907</v>
      </c>
      <c r="C127" s="14" t="s">
        <v>242</v>
      </c>
      <c r="D127" s="14" t="s">
        <v>877</v>
      </c>
      <c r="E127" s="14" t="s">
        <v>535</v>
      </c>
      <c r="F127" s="13" t="s">
        <v>908</v>
      </c>
      <c r="G127" s="15">
        <v>46111</v>
      </c>
      <c r="H127" s="15">
        <v>47150</v>
      </c>
      <c r="I127" s="17">
        <v>986</v>
      </c>
      <c r="J127" s="17">
        <v>660</v>
      </c>
      <c r="K127" s="17">
        <v>326</v>
      </c>
    </row>
    <row r="128" s="3" customFormat="1" customHeight="1" spans="1:11">
      <c r="A128" s="12" t="s">
        <v>909</v>
      </c>
      <c r="B128" s="13" t="s">
        <v>910</v>
      </c>
      <c r="C128" s="14" t="s">
        <v>242</v>
      </c>
      <c r="D128" s="14" t="s">
        <v>877</v>
      </c>
      <c r="E128" s="14" t="s">
        <v>535</v>
      </c>
      <c r="F128" s="13" t="s">
        <v>911</v>
      </c>
      <c r="G128" s="15">
        <v>46111</v>
      </c>
      <c r="H128" s="15">
        <v>47150</v>
      </c>
      <c r="I128" s="17">
        <v>1032</v>
      </c>
      <c r="J128" s="17">
        <v>691</v>
      </c>
      <c r="K128" s="17">
        <v>341</v>
      </c>
    </row>
    <row r="129" s="3" customFormat="1" customHeight="1" spans="1:11">
      <c r="A129" s="12" t="s">
        <v>912</v>
      </c>
      <c r="B129" s="13" t="s">
        <v>913</v>
      </c>
      <c r="C129" s="14" t="s">
        <v>242</v>
      </c>
      <c r="D129" s="14" t="s">
        <v>258</v>
      </c>
      <c r="E129" s="14" t="s">
        <v>535</v>
      </c>
      <c r="F129" s="13" t="s">
        <v>914</v>
      </c>
      <c r="G129" s="15">
        <v>46111</v>
      </c>
      <c r="H129" s="15">
        <v>47150</v>
      </c>
      <c r="I129" s="17">
        <v>1177</v>
      </c>
      <c r="J129" s="17">
        <v>788</v>
      </c>
      <c r="K129" s="17">
        <v>389</v>
      </c>
    </row>
    <row r="130" s="3" customFormat="1" customHeight="1" spans="1:11">
      <c r="A130" s="12" t="s">
        <v>915</v>
      </c>
      <c r="B130" s="13" t="s">
        <v>916</v>
      </c>
      <c r="C130" s="14" t="s">
        <v>242</v>
      </c>
      <c r="D130" s="14" t="s">
        <v>258</v>
      </c>
      <c r="E130" s="14" t="s">
        <v>535</v>
      </c>
      <c r="F130" s="13" t="s">
        <v>917</v>
      </c>
      <c r="G130" s="15">
        <v>46111</v>
      </c>
      <c r="H130" s="15">
        <v>47150</v>
      </c>
      <c r="I130" s="17">
        <v>881</v>
      </c>
      <c r="J130" s="17">
        <v>590</v>
      </c>
      <c r="K130" s="17">
        <v>291</v>
      </c>
    </row>
    <row r="131" s="3" customFormat="1" customHeight="1" spans="1:11">
      <c r="A131" s="12" t="s">
        <v>918</v>
      </c>
      <c r="B131" s="13" t="s">
        <v>919</v>
      </c>
      <c r="C131" s="14" t="s">
        <v>242</v>
      </c>
      <c r="D131" s="14" t="s">
        <v>258</v>
      </c>
      <c r="E131" s="14" t="s">
        <v>535</v>
      </c>
      <c r="F131" s="13" t="s">
        <v>920</v>
      </c>
      <c r="G131" s="15">
        <v>46111</v>
      </c>
      <c r="H131" s="15">
        <v>47150</v>
      </c>
      <c r="I131" s="17">
        <v>1155</v>
      </c>
      <c r="J131" s="17">
        <v>773</v>
      </c>
      <c r="K131" s="17">
        <v>382</v>
      </c>
    </row>
    <row r="132" s="3" customFormat="1" customHeight="1" spans="1:11">
      <c r="A132" s="12" t="s">
        <v>921</v>
      </c>
      <c r="B132" s="13" t="s">
        <v>922</v>
      </c>
      <c r="C132" s="14" t="s">
        <v>242</v>
      </c>
      <c r="D132" s="14" t="s">
        <v>258</v>
      </c>
      <c r="E132" s="14" t="s">
        <v>535</v>
      </c>
      <c r="F132" s="13" t="s">
        <v>923</v>
      </c>
      <c r="G132" s="15">
        <v>46111</v>
      </c>
      <c r="H132" s="15">
        <v>47150</v>
      </c>
      <c r="I132" s="17">
        <v>1155</v>
      </c>
      <c r="J132" s="17">
        <v>773</v>
      </c>
      <c r="K132" s="17">
        <v>382</v>
      </c>
    </row>
    <row r="133" s="3" customFormat="1" customHeight="1" spans="1:11">
      <c r="A133" s="12" t="s">
        <v>924</v>
      </c>
      <c r="B133" s="13" t="s">
        <v>925</v>
      </c>
      <c r="C133" s="14" t="s">
        <v>242</v>
      </c>
      <c r="D133" s="14" t="s">
        <v>258</v>
      </c>
      <c r="E133" s="14" t="s">
        <v>535</v>
      </c>
      <c r="F133" s="13" t="s">
        <v>926</v>
      </c>
      <c r="G133" s="15">
        <v>46111</v>
      </c>
      <c r="H133" s="15">
        <v>47150</v>
      </c>
      <c r="I133" s="17">
        <v>1023</v>
      </c>
      <c r="J133" s="17">
        <v>685</v>
      </c>
      <c r="K133" s="17">
        <v>338</v>
      </c>
    </row>
    <row r="134" s="3" customFormat="1" customHeight="1" spans="1:11">
      <c r="A134" s="12" t="s">
        <v>927</v>
      </c>
      <c r="B134" s="13" t="s">
        <v>928</v>
      </c>
      <c r="C134" s="14" t="s">
        <v>242</v>
      </c>
      <c r="D134" s="14" t="s">
        <v>258</v>
      </c>
      <c r="E134" s="14" t="s">
        <v>535</v>
      </c>
      <c r="F134" s="13" t="s">
        <v>929</v>
      </c>
      <c r="G134" s="15">
        <v>46111</v>
      </c>
      <c r="H134" s="15">
        <v>47150</v>
      </c>
      <c r="I134" s="17">
        <v>1016</v>
      </c>
      <c r="J134" s="17">
        <v>680</v>
      </c>
      <c r="K134" s="17">
        <v>336</v>
      </c>
    </row>
    <row r="135" s="3" customFormat="1" customHeight="1" spans="1:11">
      <c r="A135" s="12" t="s">
        <v>930</v>
      </c>
      <c r="B135" s="13" t="s">
        <v>931</v>
      </c>
      <c r="C135" s="14" t="s">
        <v>242</v>
      </c>
      <c r="D135" s="14" t="s">
        <v>258</v>
      </c>
      <c r="E135" s="14" t="s">
        <v>535</v>
      </c>
      <c r="F135" s="13" t="s">
        <v>932</v>
      </c>
      <c r="G135" s="15">
        <v>46111</v>
      </c>
      <c r="H135" s="15">
        <v>47150</v>
      </c>
      <c r="I135" s="17">
        <v>805</v>
      </c>
      <c r="J135" s="17">
        <v>539</v>
      </c>
      <c r="K135" s="17">
        <v>266</v>
      </c>
    </row>
    <row r="136" s="3" customFormat="1" customHeight="1" spans="1:11">
      <c r="A136" s="12" t="s">
        <v>933</v>
      </c>
      <c r="B136" s="13" t="s">
        <v>934</v>
      </c>
      <c r="C136" s="14" t="s">
        <v>242</v>
      </c>
      <c r="D136" s="14" t="s">
        <v>251</v>
      </c>
      <c r="E136" s="14" t="s">
        <v>535</v>
      </c>
      <c r="F136" s="13" t="s">
        <v>935</v>
      </c>
      <c r="G136" s="15">
        <v>46111</v>
      </c>
      <c r="H136" s="15">
        <v>47150</v>
      </c>
      <c r="I136" s="17">
        <v>941</v>
      </c>
      <c r="J136" s="17">
        <v>630</v>
      </c>
      <c r="K136" s="17">
        <v>311</v>
      </c>
    </row>
    <row r="137" s="3" customFormat="1" customHeight="1" spans="1:11">
      <c r="A137" s="12" t="s">
        <v>936</v>
      </c>
      <c r="B137" s="13" t="s">
        <v>937</v>
      </c>
      <c r="C137" s="14" t="s">
        <v>242</v>
      </c>
      <c r="D137" s="14" t="s">
        <v>251</v>
      </c>
      <c r="E137" s="14" t="s">
        <v>535</v>
      </c>
      <c r="F137" s="13" t="s">
        <v>938</v>
      </c>
      <c r="G137" s="15">
        <v>46111</v>
      </c>
      <c r="H137" s="15">
        <v>47150</v>
      </c>
      <c r="I137" s="17">
        <v>1031</v>
      </c>
      <c r="J137" s="17">
        <v>690</v>
      </c>
      <c r="K137" s="17">
        <v>341</v>
      </c>
    </row>
    <row r="138" s="3" customFormat="1" customHeight="1" spans="1:11">
      <c r="A138" s="12" t="s">
        <v>939</v>
      </c>
      <c r="B138" s="13" t="s">
        <v>940</v>
      </c>
      <c r="C138" s="14" t="s">
        <v>242</v>
      </c>
      <c r="D138" s="14" t="s">
        <v>251</v>
      </c>
      <c r="E138" s="14" t="s">
        <v>535</v>
      </c>
      <c r="F138" s="13" t="s">
        <v>941</v>
      </c>
      <c r="G138" s="15">
        <v>46111</v>
      </c>
      <c r="H138" s="15">
        <v>47150</v>
      </c>
      <c r="I138" s="17">
        <v>1135</v>
      </c>
      <c r="J138" s="17">
        <v>760</v>
      </c>
      <c r="K138" s="17">
        <v>375</v>
      </c>
    </row>
    <row r="139" s="3" customFormat="1" customHeight="1" spans="1:11">
      <c r="A139" s="12" t="s">
        <v>942</v>
      </c>
      <c r="B139" s="13" t="s">
        <v>943</v>
      </c>
      <c r="C139" s="14" t="s">
        <v>242</v>
      </c>
      <c r="D139" s="14" t="s">
        <v>251</v>
      </c>
      <c r="E139" s="14" t="s">
        <v>535</v>
      </c>
      <c r="F139" s="13" t="s">
        <v>944</v>
      </c>
      <c r="G139" s="15">
        <v>46111</v>
      </c>
      <c r="H139" s="15">
        <v>47150</v>
      </c>
      <c r="I139" s="17">
        <v>1011</v>
      </c>
      <c r="J139" s="17">
        <v>677</v>
      </c>
      <c r="K139" s="17">
        <v>334</v>
      </c>
    </row>
    <row r="140" s="3" customFormat="1" customHeight="1" spans="1:11">
      <c r="A140" s="12" t="s">
        <v>945</v>
      </c>
      <c r="B140" s="13" t="s">
        <v>946</v>
      </c>
      <c r="C140" s="14" t="s">
        <v>242</v>
      </c>
      <c r="D140" s="14" t="s">
        <v>52</v>
      </c>
      <c r="E140" s="14" t="s">
        <v>535</v>
      </c>
      <c r="F140" s="13" t="s">
        <v>947</v>
      </c>
      <c r="G140" s="15">
        <v>46111</v>
      </c>
      <c r="H140" s="15">
        <v>47150</v>
      </c>
      <c r="I140" s="17">
        <v>1016</v>
      </c>
      <c r="J140" s="17">
        <v>680</v>
      </c>
      <c r="K140" s="17">
        <v>336</v>
      </c>
    </row>
    <row r="141" s="3" customFormat="1" customHeight="1" spans="1:11">
      <c r="A141" s="12" t="s">
        <v>948</v>
      </c>
      <c r="B141" s="13" t="s">
        <v>949</v>
      </c>
      <c r="C141" s="14" t="s">
        <v>242</v>
      </c>
      <c r="D141" s="14" t="s">
        <v>52</v>
      </c>
      <c r="E141" s="14" t="s">
        <v>535</v>
      </c>
      <c r="F141" s="13" t="s">
        <v>950</v>
      </c>
      <c r="G141" s="15">
        <v>46111</v>
      </c>
      <c r="H141" s="15">
        <v>47150</v>
      </c>
      <c r="I141" s="17">
        <v>1094</v>
      </c>
      <c r="J141" s="17">
        <v>732</v>
      </c>
      <c r="K141" s="17">
        <v>362</v>
      </c>
    </row>
    <row r="142" s="3" customFormat="1" customHeight="1" spans="1:11">
      <c r="A142" s="12" t="s">
        <v>951</v>
      </c>
      <c r="B142" s="13" t="s">
        <v>952</v>
      </c>
      <c r="C142" s="14" t="s">
        <v>242</v>
      </c>
      <c r="D142" s="14" t="s">
        <v>52</v>
      </c>
      <c r="E142" s="14" t="s">
        <v>535</v>
      </c>
      <c r="F142" s="13" t="s">
        <v>953</v>
      </c>
      <c r="G142" s="15">
        <v>46111</v>
      </c>
      <c r="H142" s="15">
        <v>47150</v>
      </c>
      <c r="I142" s="17">
        <v>862</v>
      </c>
      <c r="J142" s="17">
        <v>577</v>
      </c>
      <c r="K142" s="17">
        <v>285</v>
      </c>
    </row>
    <row r="143" s="3" customFormat="1" customHeight="1" spans="1:11">
      <c r="A143" s="12" t="s">
        <v>954</v>
      </c>
      <c r="B143" s="13" t="s">
        <v>955</v>
      </c>
      <c r="C143" s="14" t="s">
        <v>242</v>
      </c>
      <c r="D143" s="14" t="s">
        <v>247</v>
      </c>
      <c r="E143" s="14" t="s">
        <v>535</v>
      </c>
      <c r="F143" s="13" t="s">
        <v>956</v>
      </c>
      <c r="G143" s="15">
        <v>46082</v>
      </c>
      <c r="H143" s="15">
        <v>47150</v>
      </c>
      <c r="I143" s="17">
        <v>1044</v>
      </c>
      <c r="J143" s="17">
        <v>698</v>
      </c>
      <c r="K143" s="17">
        <v>346</v>
      </c>
    </row>
    <row r="144" s="3" customFormat="1" customHeight="1" spans="1:11">
      <c r="A144" s="12" t="s">
        <v>957</v>
      </c>
      <c r="B144" s="13" t="s">
        <v>958</v>
      </c>
      <c r="C144" s="14" t="s">
        <v>298</v>
      </c>
      <c r="D144" s="14" t="s">
        <v>959</v>
      </c>
      <c r="E144" s="14" t="s">
        <v>304</v>
      </c>
      <c r="F144" s="13" t="s">
        <v>960</v>
      </c>
      <c r="G144" s="15">
        <v>46111</v>
      </c>
      <c r="H144" s="15">
        <v>47150</v>
      </c>
      <c r="I144" s="17">
        <v>4680</v>
      </c>
      <c r="J144" s="17">
        <v>4000</v>
      </c>
      <c r="K144" s="17">
        <v>680</v>
      </c>
    </row>
    <row r="145" s="3" customFormat="1" customHeight="1" spans="1:11">
      <c r="A145" s="12" t="s">
        <v>961</v>
      </c>
      <c r="B145" s="13" t="s">
        <v>962</v>
      </c>
      <c r="C145" s="14" t="s">
        <v>298</v>
      </c>
      <c r="D145" s="14" t="s">
        <v>959</v>
      </c>
      <c r="E145" s="14" t="s">
        <v>535</v>
      </c>
      <c r="F145" s="13" t="s">
        <v>963</v>
      </c>
      <c r="G145" s="15">
        <v>46111</v>
      </c>
      <c r="H145" s="15">
        <v>47150</v>
      </c>
      <c r="I145" s="17">
        <v>1002</v>
      </c>
      <c r="J145" s="17">
        <v>670</v>
      </c>
      <c r="K145" s="17">
        <v>332</v>
      </c>
    </row>
    <row r="146" s="3" customFormat="1" customHeight="1" spans="1:11">
      <c r="A146" s="12" t="s">
        <v>964</v>
      </c>
      <c r="B146" s="13" t="s">
        <v>965</v>
      </c>
      <c r="C146" s="14" t="s">
        <v>298</v>
      </c>
      <c r="D146" s="14" t="s">
        <v>959</v>
      </c>
      <c r="E146" s="14" t="s">
        <v>304</v>
      </c>
      <c r="F146" s="13" t="s">
        <v>966</v>
      </c>
      <c r="G146" s="15">
        <v>46111</v>
      </c>
      <c r="H146" s="15">
        <v>47150</v>
      </c>
      <c r="I146" s="17">
        <v>1181</v>
      </c>
      <c r="J146" s="17">
        <v>790</v>
      </c>
      <c r="K146" s="17">
        <v>391</v>
      </c>
    </row>
    <row r="147" s="3" customFormat="1" customHeight="1" spans="1:11">
      <c r="A147" s="12" t="s">
        <v>967</v>
      </c>
      <c r="B147" s="13" t="s">
        <v>968</v>
      </c>
      <c r="C147" s="14" t="s">
        <v>298</v>
      </c>
      <c r="D147" s="14" t="s">
        <v>959</v>
      </c>
      <c r="E147" s="14" t="s">
        <v>535</v>
      </c>
      <c r="F147" s="13" t="s">
        <v>969</v>
      </c>
      <c r="G147" s="15">
        <v>46111</v>
      </c>
      <c r="H147" s="15">
        <v>47150</v>
      </c>
      <c r="I147" s="17">
        <v>957</v>
      </c>
      <c r="J147" s="17">
        <v>640</v>
      </c>
      <c r="K147" s="17">
        <v>317</v>
      </c>
    </row>
    <row r="148" s="3" customFormat="1" customHeight="1" spans="1:11">
      <c r="A148" s="12" t="s">
        <v>970</v>
      </c>
      <c r="B148" s="13" t="s">
        <v>971</v>
      </c>
      <c r="C148" s="14" t="s">
        <v>298</v>
      </c>
      <c r="D148" s="14" t="s">
        <v>959</v>
      </c>
      <c r="E148" s="14" t="s">
        <v>535</v>
      </c>
      <c r="F148" s="13" t="s">
        <v>972</v>
      </c>
      <c r="G148" s="15">
        <v>46111</v>
      </c>
      <c r="H148" s="15">
        <v>47150</v>
      </c>
      <c r="I148" s="17">
        <v>1076</v>
      </c>
      <c r="J148" s="17">
        <v>720</v>
      </c>
      <c r="K148" s="17">
        <v>356</v>
      </c>
    </row>
    <row r="149" s="3" customFormat="1" customHeight="1" spans="1:11">
      <c r="A149" s="12" t="s">
        <v>973</v>
      </c>
      <c r="B149" s="13" t="s">
        <v>974</v>
      </c>
      <c r="C149" s="14" t="s">
        <v>298</v>
      </c>
      <c r="D149" s="14" t="s">
        <v>959</v>
      </c>
      <c r="E149" s="14" t="s">
        <v>535</v>
      </c>
      <c r="F149" s="13" t="s">
        <v>975</v>
      </c>
      <c r="G149" s="15">
        <v>46111</v>
      </c>
      <c r="H149" s="15">
        <v>47150</v>
      </c>
      <c r="I149" s="17">
        <v>1064</v>
      </c>
      <c r="J149" s="17">
        <v>712</v>
      </c>
      <c r="K149" s="17">
        <v>352</v>
      </c>
    </row>
    <row r="150" s="3" customFormat="1" customHeight="1" spans="1:11">
      <c r="A150" s="12" t="s">
        <v>976</v>
      </c>
      <c r="B150" s="13" t="s">
        <v>977</v>
      </c>
      <c r="C150" s="14" t="s">
        <v>298</v>
      </c>
      <c r="D150" s="14" t="s">
        <v>959</v>
      </c>
      <c r="E150" s="14" t="s">
        <v>535</v>
      </c>
      <c r="F150" s="13" t="s">
        <v>978</v>
      </c>
      <c r="G150" s="15">
        <v>46111</v>
      </c>
      <c r="H150" s="15">
        <v>47150</v>
      </c>
      <c r="I150" s="17">
        <v>1136</v>
      </c>
      <c r="J150" s="17">
        <v>760</v>
      </c>
      <c r="K150" s="17">
        <v>376</v>
      </c>
    </row>
    <row r="151" s="3" customFormat="1" customHeight="1" spans="1:11">
      <c r="A151" s="12" t="s">
        <v>979</v>
      </c>
      <c r="B151" s="13" t="s">
        <v>980</v>
      </c>
      <c r="C151" s="14" t="s">
        <v>298</v>
      </c>
      <c r="D151" s="14" t="s">
        <v>959</v>
      </c>
      <c r="E151" s="14" t="s">
        <v>535</v>
      </c>
      <c r="F151" s="13" t="s">
        <v>981</v>
      </c>
      <c r="G151" s="15">
        <v>46111</v>
      </c>
      <c r="H151" s="15">
        <v>47150</v>
      </c>
      <c r="I151" s="17">
        <v>822</v>
      </c>
      <c r="J151" s="17">
        <v>550</v>
      </c>
      <c r="K151" s="17">
        <v>272</v>
      </c>
    </row>
    <row r="152" s="3" customFormat="1" customHeight="1" spans="1:11">
      <c r="A152" s="12" t="s">
        <v>982</v>
      </c>
      <c r="B152" s="13" t="s">
        <v>983</v>
      </c>
      <c r="C152" s="14" t="s">
        <v>298</v>
      </c>
      <c r="D152" s="14" t="s">
        <v>959</v>
      </c>
      <c r="E152" s="14" t="s">
        <v>535</v>
      </c>
      <c r="F152" s="13" t="s">
        <v>984</v>
      </c>
      <c r="G152" s="15">
        <v>46111</v>
      </c>
      <c r="H152" s="15">
        <v>47150</v>
      </c>
      <c r="I152" s="17">
        <v>1211</v>
      </c>
      <c r="J152" s="17">
        <v>810</v>
      </c>
      <c r="K152" s="17">
        <v>401</v>
      </c>
    </row>
    <row r="153" s="3" customFormat="1" customHeight="1" spans="1:11">
      <c r="A153" s="12" t="s">
        <v>985</v>
      </c>
      <c r="B153" s="13" t="s">
        <v>986</v>
      </c>
      <c r="C153" s="14" t="s">
        <v>298</v>
      </c>
      <c r="D153" s="14" t="s">
        <v>959</v>
      </c>
      <c r="E153" s="14" t="s">
        <v>535</v>
      </c>
      <c r="F153" s="13" t="s">
        <v>987</v>
      </c>
      <c r="G153" s="15">
        <v>46111</v>
      </c>
      <c r="H153" s="15">
        <v>47150</v>
      </c>
      <c r="I153" s="17">
        <v>1256</v>
      </c>
      <c r="J153" s="17">
        <v>840</v>
      </c>
      <c r="K153" s="17">
        <v>416</v>
      </c>
    </row>
    <row r="154" s="3" customFormat="1" customHeight="1" spans="1:11">
      <c r="A154" s="12" t="s">
        <v>988</v>
      </c>
      <c r="B154" s="13" t="s">
        <v>989</v>
      </c>
      <c r="C154" s="14" t="s">
        <v>298</v>
      </c>
      <c r="D154" s="14" t="s">
        <v>959</v>
      </c>
      <c r="E154" s="14" t="s">
        <v>535</v>
      </c>
      <c r="F154" s="13" t="s">
        <v>990</v>
      </c>
      <c r="G154" s="15">
        <v>46111</v>
      </c>
      <c r="H154" s="15">
        <v>46784</v>
      </c>
      <c r="I154" s="17">
        <v>1121</v>
      </c>
      <c r="J154" s="17">
        <v>750</v>
      </c>
      <c r="K154" s="17">
        <v>371</v>
      </c>
    </row>
    <row r="155" s="3" customFormat="1" customHeight="1" spans="1:11">
      <c r="A155" s="12" t="s">
        <v>991</v>
      </c>
      <c r="B155" s="13" t="s">
        <v>992</v>
      </c>
      <c r="C155" s="14" t="s">
        <v>298</v>
      </c>
      <c r="D155" s="14" t="s">
        <v>959</v>
      </c>
      <c r="E155" s="14" t="s">
        <v>535</v>
      </c>
      <c r="F155" s="13" t="s">
        <v>993</v>
      </c>
      <c r="G155" s="15">
        <v>46111</v>
      </c>
      <c r="H155" s="15">
        <v>47150</v>
      </c>
      <c r="I155" s="17">
        <v>2018</v>
      </c>
      <c r="J155" s="17">
        <v>1350</v>
      </c>
      <c r="K155" s="17">
        <v>668</v>
      </c>
    </row>
    <row r="156" s="3" customFormat="1" customHeight="1" spans="1:11">
      <c r="A156" s="12" t="s">
        <v>994</v>
      </c>
      <c r="B156" s="13" t="s">
        <v>995</v>
      </c>
      <c r="C156" s="14" t="s">
        <v>298</v>
      </c>
      <c r="D156" s="14" t="s">
        <v>959</v>
      </c>
      <c r="E156" s="14" t="s">
        <v>535</v>
      </c>
      <c r="F156" s="13" t="s">
        <v>996</v>
      </c>
      <c r="G156" s="15">
        <v>46111</v>
      </c>
      <c r="H156" s="15">
        <v>47150</v>
      </c>
      <c r="I156" s="17">
        <v>1121</v>
      </c>
      <c r="J156" s="17">
        <v>750</v>
      </c>
      <c r="K156" s="17">
        <v>371</v>
      </c>
    </row>
    <row r="157" s="3" customFormat="1" customHeight="1" spans="1:11">
      <c r="A157" s="12" t="s">
        <v>997</v>
      </c>
      <c r="B157" s="13" t="s">
        <v>998</v>
      </c>
      <c r="C157" s="14" t="s">
        <v>298</v>
      </c>
      <c r="D157" s="14" t="s">
        <v>959</v>
      </c>
      <c r="E157" s="14" t="s">
        <v>535</v>
      </c>
      <c r="F157" s="13" t="s">
        <v>999</v>
      </c>
      <c r="G157" s="15">
        <v>46111</v>
      </c>
      <c r="H157" s="15">
        <v>47150</v>
      </c>
      <c r="I157" s="17">
        <v>987</v>
      </c>
      <c r="J157" s="17">
        <v>660</v>
      </c>
      <c r="K157" s="17">
        <v>327</v>
      </c>
    </row>
    <row r="158" s="3" customFormat="1" customHeight="1" spans="1:11">
      <c r="A158" s="12" t="s">
        <v>1000</v>
      </c>
      <c r="B158" s="13" t="s">
        <v>1001</v>
      </c>
      <c r="C158" s="14" t="s">
        <v>298</v>
      </c>
      <c r="D158" s="14" t="s">
        <v>1002</v>
      </c>
      <c r="E158" s="14" t="s">
        <v>535</v>
      </c>
      <c r="F158" s="13" t="s">
        <v>1003</v>
      </c>
      <c r="G158" s="15">
        <v>46111</v>
      </c>
      <c r="H158" s="15">
        <v>47150</v>
      </c>
      <c r="I158" s="17">
        <v>1166</v>
      </c>
      <c r="J158" s="17">
        <v>780</v>
      </c>
      <c r="K158" s="17">
        <v>386</v>
      </c>
    </row>
    <row r="159" s="3" customFormat="1" customHeight="1" spans="1:11">
      <c r="A159" s="12" t="s">
        <v>1004</v>
      </c>
      <c r="B159" s="13" t="s">
        <v>1005</v>
      </c>
      <c r="C159" s="14" t="s">
        <v>298</v>
      </c>
      <c r="D159" s="14" t="s">
        <v>1002</v>
      </c>
      <c r="E159" s="18" t="s">
        <v>535</v>
      </c>
      <c r="F159" s="13" t="s">
        <v>1006</v>
      </c>
      <c r="G159" s="15">
        <v>46111</v>
      </c>
      <c r="H159" s="15">
        <v>47150</v>
      </c>
      <c r="I159" s="17">
        <v>4182</v>
      </c>
      <c r="J159" s="17">
        <v>3600</v>
      </c>
      <c r="K159" s="17">
        <v>582</v>
      </c>
    </row>
    <row r="160" s="3" customFormat="1" customHeight="1" spans="1:11">
      <c r="A160" s="12" t="s">
        <v>1007</v>
      </c>
      <c r="B160" s="13" t="s">
        <v>1008</v>
      </c>
      <c r="C160" s="14" t="s">
        <v>298</v>
      </c>
      <c r="D160" s="14" t="s">
        <v>1002</v>
      </c>
      <c r="E160" s="14" t="s">
        <v>535</v>
      </c>
      <c r="F160" s="13" t="s">
        <v>1009</v>
      </c>
      <c r="G160" s="15">
        <v>46111</v>
      </c>
      <c r="H160" s="15">
        <v>47150</v>
      </c>
      <c r="I160" s="17">
        <v>1136</v>
      </c>
      <c r="J160" s="17">
        <v>760</v>
      </c>
      <c r="K160" s="17">
        <v>376</v>
      </c>
    </row>
    <row r="161" s="3" customFormat="1" customHeight="1" spans="1:11">
      <c r="A161" s="12" t="s">
        <v>1010</v>
      </c>
      <c r="B161" s="13" t="s">
        <v>1011</v>
      </c>
      <c r="C161" s="14" t="s">
        <v>298</v>
      </c>
      <c r="D161" s="14" t="s">
        <v>1002</v>
      </c>
      <c r="E161" s="14" t="s">
        <v>535</v>
      </c>
      <c r="F161" s="13" t="s">
        <v>1012</v>
      </c>
      <c r="G161" s="15">
        <v>46111</v>
      </c>
      <c r="H161" s="15">
        <v>47150</v>
      </c>
      <c r="I161" s="17">
        <v>1017</v>
      </c>
      <c r="J161" s="17">
        <v>680</v>
      </c>
      <c r="K161" s="17">
        <v>337</v>
      </c>
    </row>
    <row r="162" s="3" customFormat="1" customHeight="1" spans="1:11">
      <c r="A162" s="12" t="s">
        <v>1013</v>
      </c>
      <c r="B162" s="13" t="s">
        <v>1014</v>
      </c>
      <c r="C162" s="14" t="s">
        <v>298</v>
      </c>
      <c r="D162" s="14" t="s">
        <v>1002</v>
      </c>
      <c r="E162" s="14" t="s">
        <v>535</v>
      </c>
      <c r="F162" s="13" t="s">
        <v>1015</v>
      </c>
      <c r="G162" s="15">
        <v>46111</v>
      </c>
      <c r="H162" s="15">
        <v>46784</v>
      </c>
      <c r="I162" s="17">
        <v>1136</v>
      </c>
      <c r="J162" s="17">
        <v>760</v>
      </c>
      <c r="K162" s="17">
        <v>376</v>
      </c>
    </row>
    <row r="163" s="3" customFormat="1" customHeight="1" spans="1:11">
      <c r="A163" s="12" t="s">
        <v>1016</v>
      </c>
      <c r="B163" s="13" t="s">
        <v>1017</v>
      </c>
      <c r="C163" s="14" t="s">
        <v>298</v>
      </c>
      <c r="D163" s="14" t="s">
        <v>1002</v>
      </c>
      <c r="E163" s="14" t="s">
        <v>535</v>
      </c>
      <c r="F163" s="13" t="s">
        <v>1018</v>
      </c>
      <c r="G163" s="15">
        <v>46111</v>
      </c>
      <c r="H163" s="15">
        <v>47150</v>
      </c>
      <c r="I163" s="17">
        <v>987</v>
      </c>
      <c r="J163" s="17">
        <v>660</v>
      </c>
      <c r="K163" s="17">
        <v>327</v>
      </c>
    </row>
    <row r="164" s="3" customFormat="1" customHeight="1" spans="1:11">
      <c r="A164" s="12" t="s">
        <v>1019</v>
      </c>
      <c r="B164" s="13" t="s">
        <v>1020</v>
      </c>
      <c r="C164" s="14" t="s">
        <v>298</v>
      </c>
      <c r="D164" s="14" t="s">
        <v>1002</v>
      </c>
      <c r="E164" s="14" t="s">
        <v>535</v>
      </c>
      <c r="F164" s="13" t="s">
        <v>1021</v>
      </c>
      <c r="G164" s="15">
        <v>46111</v>
      </c>
      <c r="H164" s="15">
        <v>47150</v>
      </c>
      <c r="I164" s="17">
        <v>972</v>
      </c>
      <c r="J164" s="17">
        <v>650</v>
      </c>
      <c r="K164" s="17">
        <v>322</v>
      </c>
    </row>
    <row r="165" s="3" customFormat="1" customHeight="1" spans="1:11">
      <c r="A165" s="12" t="s">
        <v>1022</v>
      </c>
      <c r="B165" s="13" t="s">
        <v>1023</v>
      </c>
      <c r="C165" s="14" t="s">
        <v>298</v>
      </c>
      <c r="D165" s="14" t="s">
        <v>1002</v>
      </c>
      <c r="E165" s="14" t="s">
        <v>304</v>
      </c>
      <c r="F165" s="13" t="s">
        <v>1024</v>
      </c>
      <c r="G165" s="15">
        <v>46111</v>
      </c>
      <c r="H165" s="15">
        <v>46784</v>
      </c>
      <c r="I165" s="17">
        <v>1002</v>
      </c>
      <c r="J165" s="17">
        <v>670</v>
      </c>
      <c r="K165" s="17">
        <v>332</v>
      </c>
    </row>
    <row r="166" s="3" customFormat="1" customHeight="1" spans="1:11">
      <c r="A166" s="12" t="s">
        <v>1025</v>
      </c>
      <c r="B166" s="13" t="s">
        <v>1026</v>
      </c>
      <c r="C166" s="14" t="s">
        <v>298</v>
      </c>
      <c r="D166" s="14" t="s">
        <v>1027</v>
      </c>
      <c r="E166" s="14" t="s">
        <v>535</v>
      </c>
      <c r="F166" s="13" t="s">
        <v>1028</v>
      </c>
      <c r="G166" s="15">
        <v>46111</v>
      </c>
      <c r="H166" s="15">
        <v>47150</v>
      </c>
      <c r="I166" s="17">
        <v>822</v>
      </c>
      <c r="J166" s="17">
        <v>550</v>
      </c>
      <c r="K166" s="17">
        <v>272</v>
      </c>
    </row>
    <row r="167" s="3" customFormat="1" customHeight="1" spans="1:11">
      <c r="A167" s="12" t="s">
        <v>1029</v>
      </c>
      <c r="B167" s="13" t="s">
        <v>1030</v>
      </c>
      <c r="C167" s="14" t="s">
        <v>298</v>
      </c>
      <c r="D167" s="14" t="s">
        <v>1027</v>
      </c>
      <c r="E167" s="14" t="s">
        <v>535</v>
      </c>
      <c r="F167" s="13" t="s">
        <v>1031</v>
      </c>
      <c r="G167" s="15">
        <v>46111</v>
      </c>
      <c r="H167" s="15">
        <v>47150</v>
      </c>
      <c r="I167" s="17">
        <v>1047</v>
      </c>
      <c r="J167" s="17">
        <v>700</v>
      </c>
      <c r="K167" s="17">
        <v>347</v>
      </c>
    </row>
    <row r="168" s="3" customFormat="1" customHeight="1" spans="1:11">
      <c r="A168" s="12" t="s">
        <v>1032</v>
      </c>
      <c r="B168" s="13" t="s">
        <v>1033</v>
      </c>
      <c r="C168" s="14" t="s">
        <v>298</v>
      </c>
      <c r="D168" s="14" t="s">
        <v>1027</v>
      </c>
      <c r="E168" s="14" t="s">
        <v>535</v>
      </c>
      <c r="F168" s="13" t="s">
        <v>1034</v>
      </c>
      <c r="G168" s="15">
        <v>46111</v>
      </c>
      <c r="H168" s="15">
        <v>47150</v>
      </c>
      <c r="I168" s="17">
        <v>1032</v>
      </c>
      <c r="J168" s="17">
        <v>690</v>
      </c>
      <c r="K168" s="17">
        <v>342</v>
      </c>
    </row>
    <row r="169" s="3" customFormat="1" customHeight="1" spans="1:11">
      <c r="A169" s="12" t="s">
        <v>1035</v>
      </c>
      <c r="B169" s="13" t="s">
        <v>1036</v>
      </c>
      <c r="C169" s="14" t="s">
        <v>298</v>
      </c>
      <c r="D169" s="14" t="s">
        <v>1027</v>
      </c>
      <c r="E169" s="14" t="s">
        <v>535</v>
      </c>
      <c r="F169" s="13" t="s">
        <v>1037</v>
      </c>
      <c r="G169" s="15">
        <v>46111</v>
      </c>
      <c r="H169" s="15">
        <v>47150</v>
      </c>
      <c r="I169" s="17">
        <v>1017</v>
      </c>
      <c r="J169" s="17">
        <v>680</v>
      </c>
      <c r="K169" s="17">
        <v>337</v>
      </c>
    </row>
    <row r="170" s="3" customFormat="1" customHeight="1" spans="1:11">
      <c r="A170" s="12" t="s">
        <v>1038</v>
      </c>
      <c r="B170" s="13" t="s">
        <v>1039</v>
      </c>
      <c r="C170" s="14" t="s">
        <v>298</v>
      </c>
      <c r="D170" s="14" t="s">
        <v>1027</v>
      </c>
      <c r="E170" s="14" t="s">
        <v>535</v>
      </c>
      <c r="F170" s="13" t="s">
        <v>1040</v>
      </c>
      <c r="G170" s="15">
        <v>46111</v>
      </c>
      <c r="H170" s="15">
        <v>47150</v>
      </c>
      <c r="I170" s="17">
        <v>1017</v>
      </c>
      <c r="J170" s="17">
        <v>680</v>
      </c>
      <c r="K170" s="17">
        <v>337</v>
      </c>
    </row>
    <row r="171" s="3" customFormat="1" customHeight="1" spans="1:11">
      <c r="A171" s="12" t="s">
        <v>1041</v>
      </c>
      <c r="B171" s="13" t="s">
        <v>1042</v>
      </c>
      <c r="C171" s="14" t="s">
        <v>298</v>
      </c>
      <c r="D171" s="14" t="s">
        <v>1027</v>
      </c>
      <c r="E171" s="14" t="s">
        <v>535</v>
      </c>
      <c r="F171" s="13" t="s">
        <v>1043</v>
      </c>
      <c r="G171" s="15">
        <v>46111</v>
      </c>
      <c r="H171" s="15">
        <v>47150</v>
      </c>
      <c r="I171" s="17">
        <v>1136</v>
      </c>
      <c r="J171" s="17">
        <v>760</v>
      </c>
      <c r="K171" s="17">
        <v>376</v>
      </c>
    </row>
    <row r="172" s="3" customFormat="1" customHeight="1" spans="1:11">
      <c r="A172" s="12" t="s">
        <v>1044</v>
      </c>
      <c r="B172" s="13" t="s">
        <v>1045</v>
      </c>
      <c r="C172" s="14" t="s">
        <v>298</v>
      </c>
      <c r="D172" s="14" t="s">
        <v>1027</v>
      </c>
      <c r="E172" s="14" t="s">
        <v>535</v>
      </c>
      <c r="F172" s="13" t="s">
        <v>1046</v>
      </c>
      <c r="G172" s="15">
        <v>46111</v>
      </c>
      <c r="H172" s="15">
        <v>47150</v>
      </c>
      <c r="I172" s="17">
        <v>1121</v>
      </c>
      <c r="J172" s="17">
        <v>750</v>
      </c>
      <c r="K172" s="17">
        <v>371</v>
      </c>
    </row>
    <row r="173" s="3" customFormat="1" customHeight="1" spans="1:11">
      <c r="A173" s="12" t="s">
        <v>1047</v>
      </c>
      <c r="B173" s="13" t="s">
        <v>1048</v>
      </c>
      <c r="C173" s="14" t="s">
        <v>298</v>
      </c>
      <c r="D173" s="14" t="s">
        <v>1027</v>
      </c>
      <c r="E173" s="14" t="s">
        <v>535</v>
      </c>
      <c r="F173" s="13" t="s">
        <v>1049</v>
      </c>
      <c r="G173" s="15">
        <v>46111</v>
      </c>
      <c r="H173" s="15">
        <v>47150</v>
      </c>
      <c r="I173" s="17">
        <v>942</v>
      </c>
      <c r="J173" s="17">
        <v>630</v>
      </c>
      <c r="K173" s="17">
        <v>312</v>
      </c>
    </row>
    <row r="174" s="3" customFormat="1" customHeight="1" spans="1:11">
      <c r="A174" s="12" t="s">
        <v>1050</v>
      </c>
      <c r="B174" s="13" t="s">
        <v>1051</v>
      </c>
      <c r="C174" s="14" t="s">
        <v>298</v>
      </c>
      <c r="D174" s="14" t="s">
        <v>1027</v>
      </c>
      <c r="E174" s="14" t="s">
        <v>535</v>
      </c>
      <c r="F174" s="13" t="s">
        <v>1052</v>
      </c>
      <c r="G174" s="15">
        <v>46111</v>
      </c>
      <c r="H174" s="15">
        <v>47150</v>
      </c>
      <c r="I174" s="17">
        <v>987</v>
      </c>
      <c r="J174" s="17">
        <v>660</v>
      </c>
      <c r="K174" s="17">
        <v>327</v>
      </c>
    </row>
    <row r="175" s="3" customFormat="1" customHeight="1" spans="1:11">
      <c r="A175" s="12" t="s">
        <v>1053</v>
      </c>
      <c r="B175" s="13" t="s">
        <v>1054</v>
      </c>
      <c r="C175" s="14" t="s">
        <v>298</v>
      </c>
      <c r="D175" s="14" t="s">
        <v>1027</v>
      </c>
      <c r="E175" s="14" t="s">
        <v>535</v>
      </c>
      <c r="F175" s="13" t="s">
        <v>1055</v>
      </c>
      <c r="G175" s="15">
        <v>46111</v>
      </c>
      <c r="H175" s="15">
        <v>47150</v>
      </c>
      <c r="I175" s="17">
        <v>1002</v>
      </c>
      <c r="J175" s="17">
        <v>670</v>
      </c>
      <c r="K175" s="17">
        <v>332</v>
      </c>
    </row>
    <row r="176" s="3" customFormat="1" customHeight="1" spans="1:11">
      <c r="A176" s="12" t="s">
        <v>1056</v>
      </c>
      <c r="B176" s="13" t="s">
        <v>1057</v>
      </c>
      <c r="C176" s="14" t="s">
        <v>298</v>
      </c>
      <c r="D176" s="14" t="s">
        <v>1027</v>
      </c>
      <c r="E176" s="14" t="s">
        <v>535</v>
      </c>
      <c r="F176" s="13" t="s">
        <v>1058</v>
      </c>
      <c r="G176" s="15">
        <v>46111</v>
      </c>
      <c r="H176" s="15">
        <v>47150</v>
      </c>
      <c r="I176" s="17">
        <v>1121</v>
      </c>
      <c r="J176" s="17">
        <v>750</v>
      </c>
      <c r="K176" s="17">
        <v>371</v>
      </c>
    </row>
    <row r="177" s="3" customFormat="1" customHeight="1" spans="1:11">
      <c r="A177" s="12" t="s">
        <v>1059</v>
      </c>
      <c r="B177" s="13" t="s">
        <v>1060</v>
      </c>
      <c r="C177" s="14" t="s">
        <v>369</v>
      </c>
      <c r="D177" s="14" t="s">
        <v>370</v>
      </c>
      <c r="E177" s="14" t="s">
        <v>535</v>
      </c>
      <c r="F177" s="13" t="s">
        <v>1061</v>
      </c>
      <c r="G177" s="15">
        <v>46111</v>
      </c>
      <c r="H177" s="15">
        <v>47150</v>
      </c>
      <c r="I177" s="17">
        <v>1196</v>
      </c>
      <c r="J177" s="17">
        <v>800</v>
      </c>
      <c r="K177" s="17">
        <v>396</v>
      </c>
    </row>
    <row r="178" s="3" customFormat="1" customHeight="1" spans="1:11">
      <c r="A178" s="12" t="s">
        <v>1062</v>
      </c>
      <c r="B178" s="13" t="s">
        <v>1063</v>
      </c>
      <c r="C178" s="14" t="s">
        <v>369</v>
      </c>
      <c r="D178" s="14" t="s">
        <v>370</v>
      </c>
      <c r="E178" s="14" t="s">
        <v>535</v>
      </c>
      <c r="F178" s="13" t="s">
        <v>420</v>
      </c>
      <c r="G178" s="15">
        <v>46111</v>
      </c>
      <c r="H178" s="15">
        <v>47150</v>
      </c>
      <c r="I178" s="17">
        <v>1109</v>
      </c>
      <c r="J178" s="17">
        <v>742</v>
      </c>
      <c r="K178" s="17">
        <v>367</v>
      </c>
    </row>
    <row r="179" s="3" customFormat="1" customHeight="1" spans="1:11">
      <c r="A179" s="12" t="s">
        <v>1064</v>
      </c>
      <c r="B179" s="13" t="s">
        <v>1065</v>
      </c>
      <c r="C179" s="14" t="s">
        <v>369</v>
      </c>
      <c r="D179" s="14" t="s">
        <v>370</v>
      </c>
      <c r="E179" s="14" t="s">
        <v>535</v>
      </c>
      <c r="F179" s="13" t="s">
        <v>1066</v>
      </c>
      <c r="G179" s="15">
        <v>46111</v>
      </c>
      <c r="H179" s="15">
        <v>47150</v>
      </c>
      <c r="I179" s="17">
        <v>1346</v>
      </c>
      <c r="J179" s="17">
        <v>900</v>
      </c>
      <c r="K179" s="17">
        <v>446</v>
      </c>
    </row>
    <row r="180" s="3" customFormat="1" customHeight="1" spans="1:11">
      <c r="A180" s="12" t="s">
        <v>1067</v>
      </c>
      <c r="B180" s="13" t="s">
        <v>1068</v>
      </c>
      <c r="C180" s="14" t="s">
        <v>369</v>
      </c>
      <c r="D180" s="14" t="s">
        <v>370</v>
      </c>
      <c r="E180" s="14" t="s">
        <v>535</v>
      </c>
      <c r="F180" s="13" t="s">
        <v>1069</v>
      </c>
      <c r="G180" s="15">
        <v>46111</v>
      </c>
      <c r="H180" s="15">
        <v>47150</v>
      </c>
      <c r="I180" s="17">
        <v>1794</v>
      </c>
      <c r="J180" s="17">
        <v>1200</v>
      </c>
      <c r="K180" s="17">
        <v>594</v>
      </c>
    </row>
    <row r="181" s="3" customFormat="1" customHeight="1" spans="1:11">
      <c r="A181" s="12" t="s">
        <v>1070</v>
      </c>
      <c r="B181" s="13" t="s">
        <v>1071</v>
      </c>
      <c r="C181" s="14" t="s">
        <v>369</v>
      </c>
      <c r="D181" s="14" t="s">
        <v>370</v>
      </c>
      <c r="E181" s="14" t="s">
        <v>535</v>
      </c>
      <c r="F181" s="13" t="s">
        <v>1072</v>
      </c>
      <c r="G181" s="15">
        <v>46111</v>
      </c>
      <c r="H181" s="15">
        <v>47150</v>
      </c>
      <c r="I181" s="17">
        <v>1558</v>
      </c>
      <c r="J181" s="17">
        <v>1042</v>
      </c>
      <c r="K181" s="17">
        <v>516</v>
      </c>
    </row>
    <row r="182" s="3" customFormat="1" customHeight="1" spans="1:11">
      <c r="A182" s="12" t="s">
        <v>1073</v>
      </c>
      <c r="B182" s="13" t="s">
        <v>1074</v>
      </c>
      <c r="C182" s="14" t="s">
        <v>369</v>
      </c>
      <c r="D182" s="14" t="s">
        <v>370</v>
      </c>
      <c r="E182" s="14" t="s">
        <v>535</v>
      </c>
      <c r="F182" s="13" t="s">
        <v>1075</v>
      </c>
      <c r="G182" s="15">
        <v>46111</v>
      </c>
      <c r="H182" s="15">
        <v>47150</v>
      </c>
      <c r="I182" s="17">
        <v>2051</v>
      </c>
      <c r="J182" s="17">
        <v>1372</v>
      </c>
      <c r="K182" s="17">
        <v>679</v>
      </c>
    </row>
    <row r="183" s="3" customFormat="1" customHeight="1" spans="1:11">
      <c r="A183" s="12" t="s">
        <v>1076</v>
      </c>
      <c r="B183" s="13" t="s">
        <v>1077</v>
      </c>
      <c r="C183" s="14" t="s">
        <v>369</v>
      </c>
      <c r="D183" s="14" t="s">
        <v>370</v>
      </c>
      <c r="E183" s="14" t="s">
        <v>535</v>
      </c>
      <c r="F183" s="13" t="s">
        <v>1078</v>
      </c>
      <c r="G183" s="15">
        <v>46111</v>
      </c>
      <c r="H183" s="15">
        <v>47150</v>
      </c>
      <c r="I183" s="17">
        <v>1299</v>
      </c>
      <c r="J183" s="17">
        <v>869</v>
      </c>
      <c r="K183" s="17">
        <v>430</v>
      </c>
    </row>
    <row r="184" s="3" customFormat="1" customHeight="1" spans="1:11">
      <c r="A184" s="12" t="s">
        <v>1079</v>
      </c>
      <c r="B184" s="13" t="s">
        <v>1080</v>
      </c>
      <c r="C184" s="14" t="s">
        <v>369</v>
      </c>
      <c r="D184" s="14" t="s">
        <v>370</v>
      </c>
      <c r="E184" s="14" t="s">
        <v>535</v>
      </c>
      <c r="F184" s="13" t="s">
        <v>1081</v>
      </c>
      <c r="G184" s="15">
        <v>46111</v>
      </c>
      <c r="H184" s="15">
        <v>47150</v>
      </c>
      <c r="I184" s="17">
        <v>1332</v>
      </c>
      <c r="J184" s="17">
        <v>891</v>
      </c>
      <c r="K184" s="17">
        <v>441</v>
      </c>
    </row>
    <row r="185" s="3" customFormat="1" customHeight="1" spans="1:11">
      <c r="A185" s="12" t="s">
        <v>1082</v>
      </c>
      <c r="B185" s="13" t="s">
        <v>1083</v>
      </c>
      <c r="C185" s="14" t="s">
        <v>369</v>
      </c>
      <c r="D185" s="14" t="s">
        <v>370</v>
      </c>
      <c r="E185" s="14" t="s">
        <v>535</v>
      </c>
      <c r="F185" s="13" t="s">
        <v>1084</v>
      </c>
      <c r="G185" s="15">
        <v>46111</v>
      </c>
      <c r="H185" s="15">
        <v>47150</v>
      </c>
      <c r="I185" s="17">
        <v>1139</v>
      </c>
      <c r="J185" s="17">
        <v>762</v>
      </c>
      <c r="K185" s="17">
        <v>377</v>
      </c>
    </row>
    <row r="186" s="3" customFormat="1" customHeight="1" spans="1:11">
      <c r="A186" s="12" t="s">
        <v>1085</v>
      </c>
      <c r="B186" s="13" t="s">
        <v>1086</v>
      </c>
      <c r="C186" s="14" t="s">
        <v>369</v>
      </c>
      <c r="D186" s="14" t="s">
        <v>370</v>
      </c>
      <c r="E186" s="14" t="s">
        <v>535</v>
      </c>
      <c r="F186" s="13" t="s">
        <v>1087</v>
      </c>
      <c r="G186" s="15">
        <v>46111</v>
      </c>
      <c r="H186" s="15">
        <v>47150</v>
      </c>
      <c r="I186" s="17">
        <v>1041</v>
      </c>
      <c r="J186" s="17">
        <v>696</v>
      </c>
      <c r="K186" s="17">
        <v>345</v>
      </c>
    </row>
    <row r="187" s="3" customFormat="1" customHeight="1" spans="1:11">
      <c r="A187" s="12" t="s">
        <v>1088</v>
      </c>
      <c r="B187" s="13" t="s">
        <v>1089</v>
      </c>
      <c r="C187" s="14" t="s">
        <v>369</v>
      </c>
      <c r="D187" s="14" t="s">
        <v>370</v>
      </c>
      <c r="E187" s="14" t="s">
        <v>535</v>
      </c>
      <c r="F187" s="13" t="s">
        <v>1090</v>
      </c>
      <c r="G187" s="15">
        <v>46111</v>
      </c>
      <c r="H187" s="15">
        <v>47150</v>
      </c>
      <c r="I187" s="17">
        <v>1138</v>
      </c>
      <c r="J187" s="17">
        <v>761</v>
      </c>
      <c r="K187" s="17">
        <v>377</v>
      </c>
    </row>
    <row r="188" s="3" customFormat="1" customHeight="1" spans="1:11">
      <c r="A188" s="12" t="s">
        <v>1091</v>
      </c>
      <c r="B188" s="13" t="s">
        <v>1092</v>
      </c>
      <c r="C188" s="14" t="s">
        <v>369</v>
      </c>
      <c r="D188" s="14" t="s">
        <v>370</v>
      </c>
      <c r="E188" s="14" t="s">
        <v>535</v>
      </c>
      <c r="F188" s="13" t="s">
        <v>1093</v>
      </c>
      <c r="G188" s="15">
        <v>46111</v>
      </c>
      <c r="H188" s="15">
        <v>47150</v>
      </c>
      <c r="I188" s="17">
        <v>1559</v>
      </c>
      <c r="J188" s="17">
        <v>1043</v>
      </c>
      <c r="K188" s="17">
        <v>516</v>
      </c>
    </row>
    <row r="189" s="3" customFormat="1" customHeight="1" spans="1:11">
      <c r="A189" s="12" t="s">
        <v>1094</v>
      </c>
      <c r="B189" s="13" t="s">
        <v>1095</v>
      </c>
      <c r="C189" s="14" t="s">
        <v>369</v>
      </c>
      <c r="D189" s="14" t="s">
        <v>370</v>
      </c>
      <c r="E189" s="14" t="s">
        <v>535</v>
      </c>
      <c r="F189" s="13" t="s">
        <v>1096</v>
      </c>
      <c r="G189" s="15">
        <v>46111</v>
      </c>
      <c r="H189" s="15">
        <v>47150</v>
      </c>
      <c r="I189" s="17">
        <v>1120</v>
      </c>
      <c r="J189" s="17">
        <v>749</v>
      </c>
      <c r="K189" s="17">
        <v>371</v>
      </c>
    </row>
    <row r="190" s="3" customFormat="1" customHeight="1" spans="1:11">
      <c r="A190" s="12" t="s">
        <v>1097</v>
      </c>
      <c r="B190" s="13" t="s">
        <v>1098</v>
      </c>
      <c r="C190" s="14" t="s">
        <v>369</v>
      </c>
      <c r="D190" s="14" t="s">
        <v>370</v>
      </c>
      <c r="E190" s="14" t="s">
        <v>535</v>
      </c>
      <c r="F190" s="13" t="s">
        <v>1099</v>
      </c>
      <c r="G190" s="15">
        <v>46111</v>
      </c>
      <c r="H190" s="15">
        <v>47150</v>
      </c>
      <c r="I190" s="17">
        <v>1138</v>
      </c>
      <c r="J190" s="17">
        <v>761</v>
      </c>
      <c r="K190" s="17">
        <v>377</v>
      </c>
    </row>
    <row r="191" s="3" customFormat="1" customHeight="1" spans="1:11">
      <c r="A191" s="12" t="s">
        <v>1100</v>
      </c>
      <c r="B191" s="13" t="s">
        <v>1101</v>
      </c>
      <c r="C191" s="14" t="s">
        <v>369</v>
      </c>
      <c r="D191" s="14" t="s">
        <v>370</v>
      </c>
      <c r="E191" s="14" t="s">
        <v>535</v>
      </c>
      <c r="F191" s="13" t="s">
        <v>1102</v>
      </c>
      <c r="G191" s="15">
        <v>46111</v>
      </c>
      <c r="H191" s="15">
        <v>47150</v>
      </c>
      <c r="I191" s="17">
        <v>1033</v>
      </c>
      <c r="J191" s="17">
        <v>691</v>
      </c>
      <c r="K191" s="17">
        <v>342</v>
      </c>
    </row>
    <row r="192" s="3" customFormat="1" customHeight="1" spans="1:11">
      <c r="A192" s="12" t="s">
        <v>1103</v>
      </c>
      <c r="B192" s="13" t="s">
        <v>1104</v>
      </c>
      <c r="C192" s="14" t="s">
        <v>369</v>
      </c>
      <c r="D192" s="14" t="s">
        <v>370</v>
      </c>
      <c r="E192" s="14" t="s">
        <v>535</v>
      </c>
      <c r="F192" s="13" t="s">
        <v>1105</v>
      </c>
      <c r="G192" s="15">
        <v>46111</v>
      </c>
      <c r="H192" s="15">
        <v>47150</v>
      </c>
      <c r="I192" s="17">
        <v>1014</v>
      </c>
      <c r="J192" s="17">
        <v>678</v>
      </c>
      <c r="K192" s="17">
        <v>336</v>
      </c>
    </row>
    <row r="193" s="3" customFormat="1" customHeight="1" spans="1:11">
      <c r="A193" s="12" t="s">
        <v>1106</v>
      </c>
      <c r="B193" s="13" t="s">
        <v>1107</v>
      </c>
      <c r="C193" s="14" t="s">
        <v>369</v>
      </c>
      <c r="D193" s="14" t="s">
        <v>370</v>
      </c>
      <c r="E193" s="14" t="s">
        <v>535</v>
      </c>
      <c r="F193" s="13" t="s">
        <v>1108</v>
      </c>
      <c r="G193" s="15">
        <v>46111</v>
      </c>
      <c r="H193" s="15">
        <v>47150</v>
      </c>
      <c r="I193" s="17">
        <v>1253</v>
      </c>
      <c r="J193" s="17">
        <v>838</v>
      </c>
      <c r="K193" s="17">
        <v>415</v>
      </c>
    </row>
    <row r="194" s="3" customFormat="1" customHeight="1" spans="1:11">
      <c r="A194" s="12" t="s">
        <v>1109</v>
      </c>
      <c r="B194" s="13" t="s">
        <v>1110</v>
      </c>
      <c r="C194" s="14" t="s">
        <v>369</v>
      </c>
      <c r="D194" s="14" t="s">
        <v>370</v>
      </c>
      <c r="E194" s="14" t="s">
        <v>535</v>
      </c>
      <c r="F194" s="13" t="s">
        <v>1111</v>
      </c>
      <c r="G194" s="15">
        <v>46111</v>
      </c>
      <c r="H194" s="15">
        <v>47150</v>
      </c>
      <c r="I194" s="17">
        <v>1109</v>
      </c>
      <c r="J194" s="17">
        <v>742</v>
      </c>
      <c r="K194" s="17">
        <v>367</v>
      </c>
    </row>
    <row r="195" s="3" customFormat="1" customHeight="1" spans="1:11">
      <c r="A195" s="12" t="s">
        <v>1112</v>
      </c>
      <c r="B195" s="13" t="s">
        <v>1113</v>
      </c>
      <c r="C195" s="14" t="s">
        <v>369</v>
      </c>
      <c r="D195" s="14" t="s">
        <v>370</v>
      </c>
      <c r="E195" s="14" t="s">
        <v>535</v>
      </c>
      <c r="F195" s="13" t="s">
        <v>1114</v>
      </c>
      <c r="G195" s="15">
        <v>46111</v>
      </c>
      <c r="H195" s="15">
        <v>47150</v>
      </c>
      <c r="I195" s="17">
        <v>1039</v>
      </c>
      <c r="J195" s="17">
        <v>695</v>
      </c>
      <c r="K195" s="17">
        <v>344</v>
      </c>
    </row>
    <row r="196" s="3" customFormat="1" customHeight="1" spans="1:11">
      <c r="A196" s="12" t="s">
        <v>1115</v>
      </c>
      <c r="B196" s="13" t="s">
        <v>1116</v>
      </c>
      <c r="C196" s="14" t="s">
        <v>369</v>
      </c>
      <c r="D196" s="14" t="s">
        <v>375</v>
      </c>
      <c r="E196" s="14" t="s">
        <v>535</v>
      </c>
      <c r="F196" s="13" t="s">
        <v>1117</v>
      </c>
      <c r="G196" s="15">
        <v>46111</v>
      </c>
      <c r="H196" s="15">
        <v>47150</v>
      </c>
      <c r="I196" s="17">
        <v>1124</v>
      </c>
      <c r="J196" s="17">
        <v>752</v>
      </c>
      <c r="K196" s="17">
        <v>372</v>
      </c>
    </row>
    <row r="197" s="3" customFormat="1" customHeight="1" spans="1:11">
      <c r="A197" s="12" t="s">
        <v>1118</v>
      </c>
      <c r="B197" s="13" t="s">
        <v>1119</v>
      </c>
      <c r="C197" s="14" t="s">
        <v>369</v>
      </c>
      <c r="D197" s="14" t="s">
        <v>375</v>
      </c>
      <c r="E197" s="14" t="s">
        <v>535</v>
      </c>
      <c r="F197" s="13" t="s">
        <v>1120</v>
      </c>
      <c r="G197" s="15">
        <v>46111</v>
      </c>
      <c r="H197" s="15">
        <v>47150</v>
      </c>
      <c r="I197" s="17">
        <v>1139</v>
      </c>
      <c r="J197" s="17">
        <v>762</v>
      </c>
      <c r="K197" s="17">
        <v>377</v>
      </c>
    </row>
    <row r="198" s="3" customFormat="1" customHeight="1" spans="1:11">
      <c r="A198" s="12" t="s">
        <v>1121</v>
      </c>
      <c r="B198" s="13" t="s">
        <v>1122</v>
      </c>
      <c r="C198" s="14" t="s">
        <v>369</v>
      </c>
      <c r="D198" s="14" t="s">
        <v>375</v>
      </c>
      <c r="E198" s="14" t="s">
        <v>304</v>
      </c>
      <c r="F198" s="13" t="s">
        <v>1123</v>
      </c>
      <c r="G198" s="15">
        <v>46111</v>
      </c>
      <c r="H198" s="15">
        <v>47150</v>
      </c>
      <c r="I198" s="17">
        <v>1120</v>
      </c>
      <c r="J198" s="17">
        <v>749</v>
      </c>
      <c r="K198" s="17">
        <v>371</v>
      </c>
    </row>
    <row r="199" s="3" customFormat="1" customHeight="1" spans="1:11">
      <c r="A199" s="12" t="s">
        <v>1124</v>
      </c>
      <c r="B199" s="13" t="s">
        <v>1125</v>
      </c>
      <c r="C199" s="14" t="s">
        <v>369</v>
      </c>
      <c r="D199" s="14" t="s">
        <v>375</v>
      </c>
      <c r="E199" s="14" t="s">
        <v>535</v>
      </c>
      <c r="F199" s="13" t="s">
        <v>1126</v>
      </c>
      <c r="G199" s="15">
        <v>46111</v>
      </c>
      <c r="H199" s="15">
        <v>47150</v>
      </c>
      <c r="I199" s="17">
        <v>1121</v>
      </c>
      <c r="J199" s="17">
        <v>750</v>
      </c>
      <c r="K199" s="17">
        <v>371</v>
      </c>
    </row>
    <row r="200" s="3" customFormat="1" customHeight="1" spans="1:11">
      <c r="A200" s="12" t="s">
        <v>1127</v>
      </c>
      <c r="B200" s="13" t="s">
        <v>1128</v>
      </c>
      <c r="C200" s="14" t="s">
        <v>369</v>
      </c>
      <c r="D200" s="14" t="s">
        <v>375</v>
      </c>
      <c r="E200" s="14" t="s">
        <v>535</v>
      </c>
      <c r="F200" s="13" t="s">
        <v>1129</v>
      </c>
      <c r="G200" s="15">
        <v>46111</v>
      </c>
      <c r="H200" s="15">
        <v>47150</v>
      </c>
      <c r="I200" s="17">
        <v>1023</v>
      </c>
      <c r="J200" s="17">
        <v>684</v>
      </c>
      <c r="K200" s="17">
        <v>339</v>
      </c>
    </row>
    <row r="201" s="3" customFormat="1" customHeight="1" spans="1:11">
      <c r="A201" s="12" t="s">
        <v>1130</v>
      </c>
      <c r="B201" s="13" t="s">
        <v>1131</v>
      </c>
      <c r="C201" s="14" t="s">
        <v>369</v>
      </c>
      <c r="D201" s="14" t="s">
        <v>375</v>
      </c>
      <c r="E201" s="14" t="s">
        <v>535</v>
      </c>
      <c r="F201" s="13" t="s">
        <v>1132</v>
      </c>
      <c r="G201" s="15">
        <v>46111</v>
      </c>
      <c r="H201" s="15">
        <v>47150</v>
      </c>
      <c r="I201" s="17">
        <v>1038</v>
      </c>
      <c r="J201" s="17">
        <v>694</v>
      </c>
      <c r="K201" s="17">
        <v>344</v>
      </c>
    </row>
    <row r="202" s="3" customFormat="1" customHeight="1" spans="1:11">
      <c r="A202" s="12" t="s">
        <v>1133</v>
      </c>
      <c r="B202" s="13" t="s">
        <v>1134</v>
      </c>
      <c r="C202" s="14" t="s">
        <v>369</v>
      </c>
      <c r="D202" s="14" t="s">
        <v>375</v>
      </c>
      <c r="E202" s="14" t="s">
        <v>535</v>
      </c>
      <c r="F202" s="13" t="s">
        <v>1135</v>
      </c>
      <c r="G202" s="15">
        <v>46111</v>
      </c>
      <c r="H202" s="15">
        <v>47150</v>
      </c>
      <c r="I202" s="17">
        <v>1800</v>
      </c>
      <c r="J202" s="17">
        <v>1204</v>
      </c>
      <c r="K202" s="17">
        <v>596</v>
      </c>
    </row>
    <row r="203" s="3" customFormat="1" customHeight="1" spans="1:11">
      <c r="A203" s="12" t="s">
        <v>1136</v>
      </c>
      <c r="B203" s="13" t="s">
        <v>1137</v>
      </c>
      <c r="C203" s="14" t="s">
        <v>369</v>
      </c>
      <c r="D203" s="14" t="s">
        <v>375</v>
      </c>
      <c r="E203" s="14" t="s">
        <v>535</v>
      </c>
      <c r="F203" s="13" t="s">
        <v>1138</v>
      </c>
      <c r="G203" s="15">
        <v>46111</v>
      </c>
      <c r="H203" s="15">
        <v>47150</v>
      </c>
      <c r="I203" s="17">
        <v>1132</v>
      </c>
      <c r="J203" s="17">
        <v>757</v>
      </c>
      <c r="K203" s="17">
        <v>375</v>
      </c>
    </row>
    <row r="204" s="3" customFormat="1" customHeight="1" spans="1:11">
      <c r="A204" s="12" t="s">
        <v>1139</v>
      </c>
      <c r="B204" s="13" t="s">
        <v>374</v>
      </c>
      <c r="C204" s="14" t="s">
        <v>369</v>
      </c>
      <c r="D204" s="14" t="s">
        <v>375</v>
      </c>
      <c r="E204" s="14" t="s">
        <v>535</v>
      </c>
      <c r="F204" s="13" t="s">
        <v>376</v>
      </c>
      <c r="G204" s="15">
        <v>46111</v>
      </c>
      <c r="H204" s="15">
        <v>47150</v>
      </c>
      <c r="I204" s="17">
        <v>1144</v>
      </c>
      <c r="J204" s="17">
        <v>765</v>
      </c>
      <c r="K204" s="17">
        <v>379</v>
      </c>
    </row>
    <row r="205" s="3" customFormat="1" customHeight="1" spans="1:11">
      <c r="A205" s="12" t="s">
        <v>1140</v>
      </c>
      <c r="B205" s="13" t="s">
        <v>1141</v>
      </c>
      <c r="C205" s="14" t="s">
        <v>369</v>
      </c>
      <c r="D205" s="14" t="s">
        <v>375</v>
      </c>
      <c r="E205" s="14" t="s">
        <v>535</v>
      </c>
      <c r="F205" s="13" t="s">
        <v>1142</v>
      </c>
      <c r="G205" s="15">
        <v>46111</v>
      </c>
      <c r="H205" s="15">
        <v>47150</v>
      </c>
      <c r="I205" s="17">
        <v>1421</v>
      </c>
      <c r="J205" s="17">
        <v>950</v>
      </c>
      <c r="K205" s="17">
        <v>471</v>
      </c>
    </row>
    <row r="206" s="3" customFormat="1" customHeight="1" spans="1:11">
      <c r="A206" s="12" t="s">
        <v>1143</v>
      </c>
      <c r="B206" s="13" t="s">
        <v>1144</v>
      </c>
      <c r="C206" s="14" t="s">
        <v>427</v>
      </c>
      <c r="D206" s="14" t="s">
        <v>428</v>
      </c>
      <c r="E206" s="14" t="s">
        <v>304</v>
      </c>
      <c r="F206" s="13" t="s">
        <v>1145</v>
      </c>
      <c r="G206" s="15">
        <v>46111</v>
      </c>
      <c r="H206" s="15">
        <v>46811</v>
      </c>
      <c r="I206" s="17">
        <v>1405</v>
      </c>
      <c r="J206" s="17">
        <v>941</v>
      </c>
      <c r="K206" s="17">
        <v>464</v>
      </c>
    </row>
    <row r="207" s="3" customFormat="1" customHeight="1" spans="1:11">
      <c r="A207" s="12" t="s">
        <v>1146</v>
      </c>
      <c r="B207" s="13" t="s">
        <v>1147</v>
      </c>
      <c r="C207" s="14" t="s">
        <v>427</v>
      </c>
      <c r="D207" s="14" t="s">
        <v>428</v>
      </c>
      <c r="E207" s="14" t="s">
        <v>535</v>
      </c>
      <c r="F207" s="13" t="s">
        <v>1148</v>
      </c>
      <c r="G207" s="15">
        <v>46111</v>
      </c>
      <c r="H207" s="15">
        <v>46811</v>
      </c>
      <c r="I207" s="17">
        <v>1390</v>
      </c>
      <c r="J207" s="17">
        <v>931</v>
      </c>
      <c r="K207" s="17">
        <v>459</v>
      </c>
    </row>
    <row r="208" s="3" customFormat="1" customHeight="1" spans="1:11">
      <c r="A208" s="12" t="s">
        <v>1149</v>
      </c>
      <c r="B208" s="13" t="s">
        <v>1150</v>
      </c>
      <c r="C208" s="14" t="s">
        <v>427</v>
      </c>
      <c r="D208" s="14" t="s">
        <v>428</v>
      </c>
      <c r="E208" s="14" t="s">
        <v>535</v>
      </c>
      <c r="F208" s="13" t="s">
        <v>1151</v>
      </c>
      <c r="G208" s="15">
        <v>46111</v>
      </c>
      <c r="H208" s="15">
        <v>47177</v>
      </c>
      <c r="I208" s="17">
        <v>1723</v>
      </c>
      <c r="J208" s="17">
        <v>1154</v>
      </c>
      <c r="K208" s="17">
        <v>569</v>
      </c>
    </row>
    <row r="209" s="3" customFormat="1" customHeight="1" spans="1:11">
      <c r="A209" s="12" t="s">
        <v>1152</v>
      </c>
      <c r="B209" s="13" t="s">
        <v>1153</v>
      </c>
      <c r="C209" s="14" t="s">
        <v>427</v>
      </c>
      <c r="D209" s="14" t="s">
        <v>428</v>
      </c>
      <c r="E209" s="14" t="s">
        <v>535</v>
      </c>
      <c r="F209" s="13" t="s">
        <v>1154</v>
      </c>
      <c r="G209" s="15">
        <v>46111</v>
      </c>
      <c r="H209" s="15">
        <v>46811</v>
      </c>
      <c r="I209" s="17">
        <v>1523</v>
      </c>
      <c r="J209" s="17">
        <v>1020</v>
      </c>
      <c r="K209" s="17">
        <v>503</v>
      </c>
    </row>
    <row r="210" s="3" customFormat="1" customHeight="1" spans="1:11">
      <c r="A210" s="12" t="s">
        <v>1155</v>
      </c>
      <c r="B210" s="13" t="s">
        <v>1156</v>
      </c>
      <c r="C210" s="14" t="s">
        <v>427</v>
      </c>
      <c r="D210" s="14" t="s">
        <v>428</v>
      </c>
      <c r="E210" s="14" t="s">
        <v>304</v>
      </c>
      <c r="F210" s="13" t="s">
        <v>1157</v>
      </c>
      <c r="G210" s="15">
        <v>46111</v>
      </c>
      <c r="H210" s="15">
        <v>46811</v>
      </c>
      <c r="I210" s="17">
        <v>1179</v>
      </c>
      <c r="J210" s="17">
        <v>790</v>
      </c>
      <c r="K210" s="17">
        <v>389</v>
      </c>
    </row>
    <row r="211" s="3" customFormat="1" customHeight="1" spans="1:11">
      <c r="A211" s="12" t="s">
        <v>1158</v>
      </c>
      <c r="B211" s="13" t="s">
        <v>1159</v>
      </c>
      <c r="C211" s="14" t="s">
        <v>427</v>
      </c>
      <c r="D211" s="14" t="s">
        <v>428</v>
      </c>
      <c r="E211" s="14" t="s">
        <v>535</v>
      </c>
      <c r="F211" s="13" t="s">
        <v>1160</v>
      </c>
      <c r="G211" s="15">
        <v>46111</v>
      </c>
      <c r="H211" s="15">
        <v>46811</v>
      </c>
      <c r="I211" s="17">
        <v>1332</v>
      </c>
      <c r="J211" s="17">
        <v>892</v>
      </c>
      <c r="K211" s="17">
        <v>440</v>
      </c>
    </row>
    <row r="212" s="3" customFormat="1" customHeight="1" spans="1:11">
      <c r="A212" s="12" t="s">
        <v>1161</v>
      </c>
      <c r="B212" s="13" t="s">
        <v>1162</v>
      </c>
      <c r="C212" s="14" t="s">
        <v>427</v>
      </c>
      <c r="D212" s="14" t="s">
        <v>428</v>
      </c>
      <c r="E212" s="14" t="s">
        <v>535</v>
      </c>
      <c r="F212" s="13" t="s">
        <v>1163</v>
      </c>
      <c r="G212" s="15">
        <v>46111</v>
      </c>
      <c r="H212" s="15">
        <v>47177</v>
      </c>
      <c r="I212" s="17">
        <v>1320</v>
      </c>
      <c r="J212" s="17">
        <v>884</v>
      </c>
      <c r="K212" s="17">
        <v>436</v>
      </c>
    </row>
    <row r="213" s="3" customFormat="1" customHeight="1" spans="1:11">
      <c r="A213" s="12" t="s">
        <v>1164</v>
      </c>
      <c r="B213" s="13" t="s">
        <v>1165</v>
      </c>
      <c r="C213" s="14" t="s">
        <v>427</v>
      </c>
      <c r="D213" s="14" t="s">
        <v>428</v>
      </c>
      <c r="E213" s="14" t="s">
        <v>535</v>
      </c>
      <c r="F213" s="13" t="s">
        <v>1166</v>
      </c>
      <c r="G213" s="15">
        <v>46111</v>
      </c>
      <c r="H213" s="15">
        <v>46811</v>
      </c>
      <c r="I213" s="17">
        <v>1218</v>
      </c>
      <c r="J213" s="17">
        <v>816</v>
      </c>
      <c r="K213" s="17">
        <v>402</v>
      </c>
    </row>
    <row r="214" s="3" customFormat="1" customHeight="1" spans="1:11">
      <c r="A214" s="12" t="s">
        <v>1167</v>
      </c>
      <c r="B214" s="13" t="s">
        <v>1168</v>
      </c>
      <c r="C214" s="14" t="s">
        <v>427</v>
      </c>
      <c r="D214" s="14" t="s">
        <v>428</v>
      </c>
      <c r="E214" s="14" t="s">
        <v>535</v>
      </c>
      <c r="F214" s="13" t="s">
        <v>1169</v>
      </c>
      <c r="G214" s="15">
        <v>46111</v>
      </c>
      <c r="H214" s="15">
        <v>46811</v>
      </c>
      <c r="I214" s="17">
        <v>851</v>
      </c>
      <c r="J214" s="17">
        <v>570</v>
      </c>
      <c r="K214" s="17">
        <v>281</v>
      </c>
    </row>
    <row r="215" s="3" customFormat="1" customHeight="1" spans="1:11">
      <c r="A215" s="12" t="s">
        <v>1170</v>
      </c>
      <c r="B215" s="13" t="s">
        <v>1171</v>
      </c>
      <c r="C215" s="14" t="s">
        <v>427</v>
      </c>
      <c r="D215" s="14" t="s">
        <v>441</v>
      </c>
      <c r="E215" s="14" t="s">
        <v>535</v>
      </c>
      <c r="F215" s="13" t="s">
        <v>1172</v>
      </c>
      <c r="G215" s="15">
        <v>46111</v>
      </c>
      <c r="H215" s="15">
        <v>47177</v>
      </c>
      <c r="I215" s="17">
        <v>1135</v>
      </c>
      <c r="J215" s="17">
        <v>760</v>
      </c>
      <c r="K215" s="17">
        <v>375</v>
      </c>
    </row>
    <row r="216" s="3" customFormat="1" customHeight="1" spans="1:11">
      <c r="A216" s="12" t="s">
        <v>1173</v>
      </c>
      <c r="B216" s="13" t="s">
        <v>1174</v>
      </c>
      <c r="C216" s="14" t="s">
        <v>427</v>
      </c>
      <c r="D216" s="14" t="s">
        <v>441</v>
      </c>
      <c r="E216" s="14" t="s">
        <v>535</v>
      </c>
      <c r="F216" s="13" t="s">
        <v>1175</v>
      </c>
      <c r="G216" s="15">
        <v>46111</v>
      </c>
      <c r="H216" s="15">
        <v>47177</v>
      </c>
      <c r="I216" s="17">
        <v>1269</v>
      </c>
      <c r="J216" s="17">
        <v>850</v>
      </c>
      <c r="K216" s="17">
        <v>419</v>
      </c>
    </row>
    <row r="217" s="3" customFormat="1" customHeight="1" spans="1:11">
      <c r="A217" s="12" t="s">
        <v>1176</v>
      </c>
      <c r="B217" s="13" t="s">
        <v>1177</v>
      </c>
      <c r="C217" s="14" t="s">
        <v>427</v>
      </c>
      <c r="D217" s="14" t="s">
        <v>441</v>
      </c>
      <c r="E217" s="14" t="s">
        <v>535</v>
      </c>
      <c r="F217" s="13" t="s">
        <v>1178</v>
      </c>
      <c r="G217" s="15">
        <v>46111</v>
      </c>
      <c r="H217" s="15">
        <v>47150</v>
      </c>
      <c r="I217" s="17">
        <v>1269</v>
      </c>
      <c r="J217" s="17">
        <v>850</v>
      </c>
      <c r="K217" s="17">
        <v>419</v>
      </c>
    </row>
    <row r="218" s="3" customFormat="1" customHeight="1" spans="1:11">
      <c r="A218" s="12" t="s">
        <v>1179</v>
      </c>
      <c r="B218" s="13" t="s">
        <v>1180</v>
      </c>
      <c r="C218" s="14" t="s">
        <v>427</v>
      </c>
      <c r="D218" s="14" t="s">
        <v>441</v>
      </c>
      <c r="E218" s="14" t="s">
        <v>535</v>
      </c>
      <c r="F218" s="13" t="s">
        <v>1181</v>
      </c>
      <c r="G218" s="15">
        <v>46111</v>
      </c>
      <c r="H218" s="15">
        <v>47177</v>
      </c>
      <c r="I218" s="17">
        <v>1194</v>
      </c>
      <c r="J218" s="17">
        <v>800</v>
      </c>
      <c r="K218" s="17">
        <v>394</v>
      </c>
    </row>
    <row r="219" s="3" customFormat="1" customHeight="1" spans="1:11">
      <c r="A219" s="12" t="s">
        <v>1182</v>
      </c>
      <c r="B219" s="13" t="s">
        <v>1183</v>
      </c>
      <c r="C219" s="14" t="s">
        <v>427</v>
      </c>
      <c r="D219" s="14" t="s">
        <v>441</v>
      </c>
      <c r="E219" s="14" t="s">
        <v>535</v>
      </c>
      <c r="F219" s="13" t="s">
        <v>1184</v>
      </c>
      <c r="G219" s="15">
        <v>46111</v>
      </c>
      <c r="H219" s="15">
        <v>47177</v>
      </c>
      <c r="I219" s="17">
        <v>1493</v>
      </c>
      <c r="J219" s="17">
        <v>1000</v>
      </c>
      <c r="K219" s="17">
        <v>493</v>
      </c>
    </row>
    <row r="220" s="3" customFormat="1" customHeight="1" spans="1:11">
      <c r="A220" s="12" t="s">
        <v>1185</v>
      </c>
      <c r="B220" s="13" t="s">
        <v>1186</v>
      </c>
      <c r="C220" s="14" t="s">
        <v>427</v>
      </c>
      <c r="D220" s="14" t="s">
        <v>441</v>
      </c>
      <c r="E220" s="14" t="s">
        <v>535</v>
      </c>
      <c r="F220" s="13" t="s">
        <v>1187</v>
      </c>
      <c r="G220" s="15">
        <v>46111</v>
      </c>
      <c r="H220" s="15">
        <v>47177</v>
      </c>
      <c r="I220" s="17">
        <v>1135</v>
      </c>
      <c r="J220" s="17">
        <v>760</v>
      </c>
      <c r="K220" s="17">
        <v>375</v>
      </c>
    </row>
    <row r="221" s="3" customFormat="1" customHeight="1" spans="1:11">
      <c r="A221" s="12" t="s">
        <v>1188</v>
      </c>
      <c r="B221" s="13" t="s">
        <v>1189</v>
      </c>
      <c r="C221" s="14" t="s">
        <v>427</v>
      </c>
      <c r="D221" s="14" t="s">
        <v>441</v>
      </c>
      <c r="E221" s="14" t="s">
        <v>535</v>
      </c>
      <c r="F221" s="13" t="s">
        <v>1190</v>
      </c>
      <c r="G221" s="15">
        <v>46111</v>
      </c>
      <c r="H221" s="15">
        <v>47177</v>
      </c>
      <c r="I221" s="17">
        <v>879</v>
      </c>
      <c r="J221" s="17">
        <v>589</v>
      </c>
      <c r="K221" s="17">
        <v>290</v>
      </c>
    </row>
    <row r="222" s="3" customFormat="1" customHeight="1" spans="1:11">
      <c r="A222" s="12" t="s">
        <v>1191</v>
      </c>
      <c r="B222" s="13" t="s">
        <v>1192</v>
      </c>
      <c r="C222" s="14" t="s">
        <v>427</v>
      </c>
      <c r="D222" s="14" t="s">
        <v>441</v>
      </c>
      <c r="E222" s="14" t="s">
        <v>535</v>
      </c>
      <c r="F222" s="13" t="s">
        <v>1193</v>
      </c>
      <c r="G222" s="15">
        <v>46111</v>
      </c>
      <c r="H222" s="15">
        <v>47177</v>
      </c>
      <c r="I222" s="17">
        <v>1135</v>
      </c>
      <c r="J222" s="17">
        <v>760</v>
      </c>
      <c r="K222" s="17">
        <v>375</v>
      </c>
    </row>
    <row r="223" s="3" customFormat="1" customHeight="1" spans="1:11">
      <c r="A223" s="12" t="s">
        <v>1194</v>
      </c>
      <c r="B223" s="13" t="s">
        <v>1195</v>
      </c>
      <c r="C223" s="14" t="s">
        <v>427</v>
      </c>
      <c r="D223" s="14" t="s">
        <v>441</v>
      </c>
      <c r="E223" s="14" t="s">
        <v>535</v>
      </c>
      <c r="F223" s="13" t="s">
        <v>1196</v>
      </c>
      <c r="G223" s="15">
        <v>46111</v>
      </c>
      <c r="H223" s="15">
        <v>47177</v>
      </c>
      <c r="I223" s="17">
        <v>1481</v>
      </c>
      <c r="J223" s="17">
        <v>992</v>
      </c>
      <c r="K223" s="17">
        <v>489</v>
      </c>
    </row>
    <row r="224" s="3" customFormat="1" customHeight="1" spans="1:11">
      <c r="A224" s="12" t="s">
        <v>1197</v>
      </c>
      <c r="B224" s="13" t="s">
        <v>1198</v>
      </c>
      <c r="C224" s="14" t="s">
        <v>427</v>
      </c>
      <c r="D224" s="14" t="s">
        <v>445</v>
      </c>
      <c r="E224" s="14" t="s">
        <v>535</v>
      </c>
      <c r="F224" s="13" t="s">
        <v>1199</v>
      </c>
      <c r="G224" s="15">
        <v>46111</v>
      </c>
      <c r="H224" s="15">
        <v>46811</v>
      </c>
      <c r="I224" s="17">
        <v>1702</v>
      </c>
      <c r="J224" s="17">
        <v>1140</v>
      </c>
      <c r="K224" s="17">
        <v>562</v>
      </c>
    </row>
    <row r="225" s="3" customFormat="1" customHeight="1" spans="1:11">
      <c r="A225" s="12" t="s">
        <v>1200</v>
      </c>
      <c r="B225" s="13" t="s">
        <v>1201</v>
      </c>
      <c r="C225" s="14" t="s">
        <v>427</v>
      </c>
      <c r="D225" s="14" t="s">
        <v>445</v>
      </c>
      <c r="E225" s="14" t="s">
        <v>535</v>
      </c>
      <c r="F225" s="13" t="s">
        <v>1202</v>
      </c>
      <c r="G225" s="15">
        <v>46111</v>
      </c>
      <c r="H225" s="15">
        <v>46811</v>
      </c>
      <c r="I225" s="17">
        <v>1418</v>
      </c>
      <c r="J225" s="17">
        <v>950</v>
      </c>
      <c r="K225" s="17">
        <v>468</v>
      </c>
    </row>
    <row r="226" s="3" customFormat="1" customHeight="1" spans="1:11">
      <c r="A226" s="12" t="s">
        <v>1203</v>
      </c>
      <c r="B226" s="13" t="s">
        <v>1204</v>
      </c>
      <c r="C226" s="14" t="s">
        <v>427</v>
      </c>
      <c r="D226" s="14" t="s">
        <v>445</v>
      </c>
      <c r="E226" s="14" t="s">
        <v>535</v>
      </c>
      <c r="F226" s="13" t="s">
        <v>1205</v>
      </c>
      <c r="G226" s="15">
        <v>46111</v>
      </c>
      <c r="H226" s="15">
        <v>46811</v>
      </c>
      <c r="I226" s="17">
        <v>1105</v>
      </c>
      <c r="J226" s="17">
        <v>740</v>
      </c>
      <c r="K226" s="17">
        <v>365</v>
      </c>
    </row>
    <row r="227" s="3" customFormat="1" customHeight="1" spans="1:11">
      <c r="A227" s="12" t="s">
        <v>1206</v>
      </c>
      <c r="B227" s="13" t="s">
        <v>1207</v>
      </c>
      <c r="C227" s="14" t="s">
        <v>427</v>
      </c>
      <c r="D227" s="14" t="s">
        <v>445</v>
      </c>
      <c r="E227" s="14" t="s">
        <v>535</v>
      </c>
      <c r="F227" s="13" t="s">
        <v>1208</v>
      </c>
      <c r="G227" s="15">
        <v>46111</v>
      </c>
      <c r="H227" s="15">
        <v>46811</v>
      </c>
      <c r="I227" s="17">
        <v>1179</v>
      </c>
      <c r="J227" s="17">
        <v>790</v>
      </c>
      <c r="K227" s="17">
        <v>389</v>
      </c>
    </row>
    <row r="228" s="3" customFormat="1" customHeight="1" spans="1:11">
      <c r="A228" s="12" t="s">
        <v>1209</v>
      </c>
      <c r="B228" s="13" t="s">
        <v>1210</v>
      </c>
      <c r="C228" s="14" t="s">
        <v>427</v>
      </c>
      <c r="D228" s="14" t="s">
        <v>445</v>
      </c>
      <c r="E228" s="14" t="s">
        <v>535</v>
      </c>
      <c r="F228" s="13" t="s">
        <v>1211</v>
      </c>
      <c r="G228" s="15">
        <v>46111</v>
      </c>
      <c r="H228" s="15">
        <v>47177</v>
      </c>
      <c r="I228" s="17">
        <v>1250</v>
      </c>
      <c r="J228" s="17">
        <v>837</v>
      </c>
      <c r="K228" s="17">
        <v>413</v>
      </c>
    </row>
    <row r="229" s="3" customFormat="1" customHeight="1" spans="1:11">
      <c r="A229" s="12" t="s">
        <v>1212</v>
      </c>
      <c r="B229" s="13" t="s">
        <v>1213</v>
      </c>
      <c r="C229" s="14" t="s">
        <v>427</v>
      </c>
      <c r="D229" s="14" t="s">
        <v>445</v>
      </c>
      <c r="E229" s="14" t="s">
        <v>535</v>
      </c>
      <c r="F229" s="13" t="s">
        <v>1214</v>
      </c>
      <c r="G229" s="15">
        <v>46111</v>
      </c>
      <c r="H229" s="15">
        <v>46811</v>
      </c>
      <c r="I229" s="17">
        <v>781</v>
      </c>
      <c r="J229" s="17">
        <v>523</v>
      </c>
      <c r="K229" s="17">
        <v>258</v>
      </c>
    </row>
    <row r="230" s="3" customFormat="1" customHeight="1" spans="1:11">
      <c r="A230" s="12" t="s">
        <v>1215</v>
      </c>
      <c r="B230" s="13" t="s">
        <v>1216</v>
      </c>
      <c r="C230" s="14" t="s">
        <v>427</v>
      </c>
      <c r="D230" s="14" t="s">
        <v>445</v>
      </c>
      <c r="E230" s="14" t="s">
        <v>535</v>
      </c>
      <c r="F230" s="13" t="s">
        <v>1217</v>
      </c>
      <c r="G230" s="15">
        <v>46111</v>
      </c>
      <c r="H230" s="15">
        <v>46811</v>
      </c>
      <c r="I230" s="17">
        <v>1308</v>
      </c>
      <c r="J230" s="17">
        <v>876</v>
      </c>
      <c r="K230" s="17">
        <v>432</v>
      </c>
    </row>
    <row r="231" s="3" customFormat="1" customHeight="1" spans="1:11">
      <c r="A231" s="12" t="s">
        <v>1218</v>
      </c>
      <c r="B231" s="13" t="s">
        <v>1219</v>
      </c>
      <c r="C231" s="14" t="s">
        <v>427</v>
      </c>
      <c r="D231" s="14" t="s">
        <v>445</v>
      </c>
      <c r="E231" s="14" t="s">
        <v>535</v>
      </c>
      <c r="F231" s="13" t="s">
        <v>1220</v>
      </c>
      <c r="G231" s="15">
        <v>46111</v>
      </c>
      <c r="H231" s="15">
        <v>46811</v>
      </c>
      <c r="I231" s="17">
        <v>823</v>
      </c>
      <c r="J231" s="17">
        <v>551</v>
      </c>
      <c r="K231" s="17">
        <v>272</v>
      </c>
    </row>
    <row r="232" s="3" customFormat="1" customHeight="1" spans="1:11">
      <c r="A232" s="12" t="s">
        <v>1221</v>
      </c>
      <c r="B232" s="13" t="s">
        <v>1222</v>
      </c>
      <c r="C232" s="14" t="s">
        <v>427</v>
      </c>
      <c r="D232" s="14" t="s">
        <v>445</v>
      </c>
      <c r="E232" s="14" t="s">
        <v>535</v>
      </c>
      <c r="F232" s="13" t="s">
        <v>1223</v>
      </c>
      <c r="G232" s="15">
        <v>46111</v>
      </c>
      <c r="H232" s="15">
        <v>46811</v>
      </c>
      <c r="I232" s="17">
        <v>1444</v>
      </c>
      <c r="J232" s="17">
        <v>967</v>
      </c>
      <c r="K232" s="17">
        <v>477</v>
      </c>
    </row>
    <row r="233" s="3" customFormat="1" customHeight="1" spans="1:11">
      <c r="A233" s="12" t="s">
        <v>1224</v>
      </c>
      <c r="B233" s="13" t="s">
        <v>1225</v>
      </c>
      <c r="C233" s="14" t="s">
        <v>427</v>
      </c>
      <c r="D233" s="14" t="s">
        <v>445</v>
      </c>
      <c r="E233" s="14" t="s">
        <v>535</v>
      </c>
      <c r="F233" s="13" t="s">
        <v>1226</v>
      </c>
      <c r="G233" s="15">
        <v>46111</v>
      </c>
      <c r="H233" s="15">
        <v>46811</v>
      </c>
      <c r="I233" s="17">
        <v>1206</v>
      </c>
      <c r="J233" s="17">
        <v>808</v>
      </c>
      <c r="K233" s="17">
        <v>398</v>
      </c>
    </row>
    <row r="234" s="3" customFormat="1" customHeight="1" spans="1:11">
      <c r="A234" s="12" t="s">
        <v>1227</v>
      </c>
      <c r="B234" s="13" t="s">
        <v>1228</v>
      </c>
      <c r="C234" s="14" t="s">
        <v>427</v>
      </c>
      <c r="D234" s="14" t="s">
        <v>445</v>
      </c>
      <c r="E234" s="14" t="s">
        <v>535</v>
      </c>
      <c r="F234" s="13" t="s">
        <v>1229</v>
      </c>
      <c r="G234" s="15">
        <v>46111</v>
      </c>
      <c r="H234" s="15">
        <v>46811</v>
      </c>
      <c r="I234" s="17">
        <v>1218</v>
      </c>
      <c r="J234" s="17">
        <v>816</v>
      </c>
      <c r="K234" s="17">
        <v>402</v>
      </c>
    </row>
    <row r="235" s="3" customFormat="1" customHeight="1" spans="1:11">
      <c r="A235" s="12" t="s">
        <v>1230</v>
      </c>
      <c r="B235" s="13" t="s">
        <v>1231</v>
      </c>
      <c r="C235" s="14" t="s">
        <v>427</v>
      </c>
      <c r="D235" s="14" t="s">
        <v>432</v>
      </c>
      <c r="E235" s="14" t="s">
        <v>535</v>
      </c>
      <c r="F235" s="13" t="s">
        <v>1232</v>
      </c>
      <c r="G235" s="15">
        <v>46111</v>
      </c>
      <c r="H235" s="15">
        <v>46811</v>
      </c>
      <c r="I235" s="17">
        <v>1418</v>
      </c>
      <c r="J235" s="17">
        <v>950</v>
      </c>
      <c r="K235" s="17">
        <v>468</v>
      </c>
    </row>
    <row r="236" s="3" customFormat="1" customHeight="1" spans="1:11">
      <c r="A236" s="12" t="s">
        <v>1233</v>
      </c>
      <c r="B236" s="13" t="s">
        <v>1234</v>
      </c>
      <c r="C236" s="14" t="s">
        <v>427</v>
      </c>
      <c r="D236" s="14" t="s">
        <v>432</v>
      </c>
      <c r="E236" s="14" t="s">
        <v>535</v>
      </c>
      <c r="F236" s="13" t="s">
        <v>1235</v>
      </c>
      <c r="G236" s="15">
        <v>46111</v>
      </c>
      <c r="H236" s="15">
        <v>46811</v>
      </c>
      <c r="I236" s="17">
        <v>1348</v>
      </c>
      <c r="J236" s="17">
        <v>903</v>
      </c>
      <c r="K236" s="17">
        <v>445</v>
      </c>
    </row>
    <row r="237" s="3" customFormat="1" customHeight="1" spans="1:11">
      <c r="A237" s="12" t="s">
        <v>1236</v>
      </c>
      <c r="B237" s="13" t="s">
        <v>1237</v>
      </c>
      <c r="C237" s="14" t="s">
        <v>427</v>
      </c>
      <c r="D237" s="14" t="s">
        <v>432</v>
      </c>
      <c r="E237" s="14" t="s">
        <v>535</v>
      </c>
      <c r="F237" s="13" t="s">
        <v>1238</v>
      </c>
      <c r="G237" s="15">
        <v>46111</v>
      </c>
      <c r="H237" s="15">
        <v>46811</v>
      </c>
      <c r="I237" s="17">
        <v>2128</v>
      </c>
      <c r="J237" s="17">
        <v>1425</v>
      </c>
      <c r="K237" s="17">
        <v>703</v>
      </c>
    </row>
    <row r="238" s="3" customFormat="1" customHeight="1" spans="1:11">
      <c r="A238" s="12" t="s">
        <v>1239</v>
      </c>
      <c r="B238" s="13" t="s">
        <v>1240</v>
      </c>
      <c r="C238" s="14" t="s">
        <v>427</v>
      </c>
      <c r="D238" s="14" t="s">
        <v>432</v>
      </c>
      <c r="E238" s="14" t="s">
        <v>535</v>
      </c>
      <c r="F238" s="13" t="s">
        <v>1241</v>
      </c>
      <c r="G238" s="15">
        <v>46111</v>
      </c>
      <c r="H238" s="15">
        <v>46811</v>
      </c>
      <c r="I238" s="17">
        <v>1456</v>
      </c>
      <c r="J238" s="17">
        <v>975</v>
      </c>
      <c r="K238" s="17">
        <v>481</v>
      </c>
    </row>
    <row r="239" s="3" customFormat="1" customHeight="1" spans="1:11">
      <c r="A239" s="12" t="s">
        <v>1242</v>
      </c>
      <c r="B239" s="13" t="s">
        <v>1243</v>
      </c>
      <c r="C239" s="14" t="s">
        <v>427</v>
      </c>
      <c r="D239" s="14" t="s">
        <v>432</v>
      </c>
      <c r="E239" s="14" t="s">
        <v>535</v>
      </c>
      <c r="F239" s="13" t="s">
        <v>1244</v>
      </c>
      <c r="G239" s="15">
        <v>46111</v>
      </c>
      <c r="H239" s="15">
        <v>47177</v>
      </c>
      <c r="I239" s="17">
        <v>1568</v>
      </c>
      <c r="J239" s="17">
        <v>1050</v>
      </c>
      <c r="K239" s="17">
        <v>518</v>
      </c>
    </row>
    <row r="240" s="3" customFormat="1" customHeight="1" spans="1:11">
      <c r="A240" s="12" t="s">
        <v>1245</v>
      </c>
      <c r="B240" s="13" t="s">
        <v>1246</v>
      </c>
      <c r="C240" s="14" t="s">
        <v>427</v>
      </c>
      <c r="D240" s="14" t="s">
        <v>432</v>
      </c>
      <c r="E240" s="14" t="s">
        <v>535</v>
      </c>
      <c r="F240" s="13" t="s">
        <v>1247</v>
      </c>
      <c r="G240" s="15">
        <v>46111</v>
      </c>
      <c r="H240" s="15">
        <v>46811</v>
      </c>
      <c r="I240" s="17">
        <v>1269</v>
      </c>
      <c r="J240" s="17">
        <v>850</v>
      </c>
      <c r="K240" s="17">
        <v>419</v>
      </c>
    </row>
    <row r="241" s="3" customFormat="1" customHeight="1" spans="1:11">
      <c r="A241" s="12" t="s">
        <v>1248</v>
      </c>
      <c r="B241" s="13" t="s">
        <v>1249</v>
      </c>
      <c r="C241" s="14" t="s">
        <v>427</v>
      </c>
      <c r="D241" s="14" t="s">
        <v>432</v>
      </c>
      <c r="E241" s="14" t="s">
        <v>535</v>
      </c>
      <c r="F241" s="13" t="s">
        <v>1250</v>
      </c>
      <c r="G241" s="15">
        <v>46111</v>
      </c>
      <c r="H241" s="15">
        <v>46811</v>
      </c>
      <c r="I241" s="17">
        <v>993</v>
      </c>
      <c r="J241" s="17">
        <v>665</v>
      </c>
      <c r="K241" s="17">
        <v>328</v>
      </c>
    </row>
    <row r="242" s="3" customFormat="1" customHeight="1" spans="1:11">
      <c r="A242" s="12" t="s">
        <v>1251</v>
      </c>
      <c r="B242" s="13" t="s">
        <v>440</v>
      </c>
      <c r="C242" s="14" t="s">
        <v>427</v>
      </c>
      <c r="D242" s="14" t="s">
        <v>441</v>
      </c>
      <c r="E242" s="14" t="s">
        <v>535</v>
      </c>
      <c r="F242" s="13" t="s">
        <v>1252</v>
      </c>
      <c r="G242" s="15">
        <v>46111</v>
      </c>
      <c r="H242" s="15">
        <v>47150</v>
      </c>
      <c r="I242" s="17">
        <v>1126</v>
      </c>
      <c r="J242" s="17">
        <v>754</v>
      </c>
      <c r="K242" s="17">
        <v>372</v>
      </c>
    </row>
    <row r="243" s="3" customFormat="1" customHeight="1" spans="1:11">
      <c r="A243" s="12" t="s">
        <v>1253</v>
      </c>
      <c r="B243" s="13" t="s">
        <v>466</v>
      </c>
      <c r="C243" s="14" t="s">
        <v>427</v>
      </c>
      <c r="D243" s="14" t="s">
        <v>441</v>
      </c>
      <c r="E243" s="14" t="s">
        <v>535</v>
      </c>
      <c r="F243" s="13" t="s">
        <v>467</v>
      </c>
      <c r="G243" s="15">
        <v>46111</v>
      </c>
      <c r="H243" s="15">
        <v>47150</v>
      </c>
      <c r="I243" s="17">
        <v>1040</v>
      </c>
      <c r="J243" s="17">
        <v>695</v>
      </c>
      <c r="K243" s="17">
        <v>345</v>
      </c>
    </row>
    <row r="244" s="3" customFormat="1" customHeight="1" spans="1:11">
      <c r="A244" s="12" t="s">
        <v>1254</v>
      </c>
      <c r="B244" s="13" t="s">
        <v>1255</v>
      </c>
      <c r="C244" s="14" t="s">
        <v>488</v>
      </c>
      <c r="D244" s="14" t="s">
        <v>1256</v>
      </c>
      <c r="E244" s="14" t="s">
        <v>535</v>
      </c>
      <c r="F244" s="13" t="s">
        <v>1257</v>
      </c>
      <c r="G244" s="15">
        <v>46111</v>
      </c>
      <c r="H244" s="15">
        <v>46811</v>
      </c>
      <c r="I244" s="17">
        <v>846</v>
      </c>
      <c r="J244" s="17">
        <v>568</v>
      </c>
      <c r="K244" s="17">
        <v>278</v>
      </c>
    </row>
    <row r="245" s="3" customFormat="1" customHeight="1" spans="1:11">
      <c r="A245" s="12" t="s">
        <v>1258</v>
      </c>
      <c r="B245" s="13" t="s">
        <v>1259</v>
      </c>
      <c r="C245" s="14" t="s">
        <v>488</v>
      </c>
      <c r="D245" s="14" t="s">
        <v>1256</v>
      </c>
      <c r="E245" s="14" t="s">
        <v>535</v>
      </c>
      <c r="F245" s="13" t="s">
        <v>1260</v>
      </c>
      <c r="G245" s="15">
        <v>46111</v>
      </c>
      <c r="H245" s="15">
        <v>46811</v>
      </c>
      <c r="I245" s="17">
        <v>596</v>
      </c>
      <c r="J245" s="17">
        <v>400</v>
      </c>
      <c r="K245" s="17">
        <v>196</v>
      </c>
    </row>
    <row r="246" s="3" customFormat="1" customHeight="1" spans="1:11">
      <c r="A246" s="12" t="s">
        <v>1261</v>
      </c>
      <c r="B246" s="13" t="s">
        <v>1262</v>
      </c>
      <c r="C246" s="14" t="s">
        <v>488</v>
      </c>
      <c r="D246" s="14" t="s">
        <v>1256</v>
      </c>
      <c r="E246" s="14" t="s">
        <v>535</v>
      </c>
      <c r="F246" s="13" t="s">
        <v>1263</v>
      </c>
      <c r="G246" s="15">
        <v>46111</v>
      </c>
      <c r="H246" s="15">
        <v>46811</v>
      </c>
      <c r="I246" s="17">
        <v>846</v>
      </c>
      <c r="J246" s="17">
        <v>568</v>
      </c>
      <c r="K246" s="17">
        <v>278</v>
      </c>
    </row>
    <row r="247" s="3" customFormat="1" customHeight="1" spans="1:11">
      <c r="A247" s="12" t="s">
        <v>1264</v>
      </c>
      <c r="B247" s="13" t="s">
        <v>1265</v>
      </c>
      <c r="C247" s="14" t="s">
        <v>488</v>
      </c>
      <c r="D247" s="14" t="s">
        <v>1256</v>
      </c>
      <c r="E247" s="14" t="s">
        <v>535</v>
      </c>
      <c r="F247" s="13" t="s">
        <v>1266</v>
      </c>
      <c r="G247" s="15">
        <v>46111</v>
      </c>
      <c r="H247" s="15">
        <v>46811</v>
      </c>
      <c r="I247" s="17">
        <v>815</v>
      </c>
      <c r="J247" s="17">
        <v>547</v>
      </c>
      <c r="K247" s="17">
        <v>268</v>
      </c>
    </row>
    <row r="248" s="3" customFormat="1" customHeight="1" spans="1:11">
      <c r="A248" s="12" t="s">
        <v>1267</v>
      </c>
      <c r="B248" s="13" t="s">
        <v>1268</v>
      </c>
      <c r="C248" s="14" t="s">
        <v>488</v>
      </c>
      <c r="D248" s="14" t="s">
        <v>1256</v>
      </c>
      <c r="E248" s="14" t="s">
        <v>535</v>
      </c>
      <c r="F248" s="13" t="s">
        <v>1269</v>
      </c>
      <c r="G248" s="15">
        <v>46111</v>
      </c>
      <c r="H248" s="15">
        <v>46811</v>
      </c>
      <c r="I248" s="17">
        <v>732</v>
      </c>
      <c r="J248" s="17">
        <v>491</v>
      </c>
      <c r="K248" s="17">
        <v>241</v>
      </c>
    </row>
    <row r="249" s="3" customFormat="1" customHeight="1" spans="1:11">
      <c r="A249" s="12" t="s">
        <v>1270</v>
      </c>
      <c r="B249" s="13" t="s">
        <v>1271</v>
      </c>
      <c r="C249" s="14" t="s">
        <v>488</v>
      </c>
      <c r="D249" s="14" t="s">
        <v>1256</v>
      </c>
      <c r="E249" s="14" t="s">
        <v>535</v>
      </c>
      <c r="F249" s="13" t="s">
        <v>1272</v>
      </c>
      <c r="G249" s="15">
        <v>46111</v>
      </c>
      <c r="H249" s="15">
        <v>46784</v>
      </c>
      <c r="I249" s="17">
        <v>876</v>
      </c>
      <c r="J249" s="17">
        <v>588</v>
      </c>
      <c r="K249" s="17">
        <v>288</v>
      </c>
    </row>
    <row r="250" s="3" customFormat="1" customHeight="1" spans="1:11">
      <c r="A250" s="12" t="s">
        <v>1273</v>
      </c>
      <c r="B250" s="13" t="s">
        <v>1274</v>
      </c>
      <c r="C250" s="14" t="s">
        <v>488</v>
      </c>
      <c r="D250" s="14" t="s">
        <v>1256</v>
      </c>
      <c r="E250" s="14" t="s">
        <v>535</v>
      </c>
      <c r="F250" s="13" t="s">
        <v>1275</v>
      </c>
      <c r="G250" s="15">
        <v>46111</v>
      </c>
      <c r="H250" s="15">
        <v>46811</v>
      </c>
      <c r="I250" s="17">
        <v>808</v>
      </c>
      <c r="J250" s="17">
        <v>542</v>
      </c>
      <c r="K250" s="17">
        <v>266</v>
      </c>
    </row>
    <row r="251" s="3" customFormat="1" customHeight="1" spans="1:11">
      <c r="A251" s="12" t="s">
        <v>1276</v>
      </c>
      <c r="B251" s="13" t="s">
        <v>1277</v>
      </c>
      <c r="C251" s="14" t="s">
        <v>488</v>
      </c>
      <c r="D251" s="14" t="s">
        <v>1256</v>
      </c>
      <c r="E251" s="14" t="s">
        <v>535</v>
      </c>
      <c r="F251" s="13" t="s">
        <v>1278</v>
      </c>
      <c r="G251" s="15">
        <v>46111</v>
      </c>
      <c r="H251" s="15">
        <v>46811</v>
      </c>
      <c r="I251" s="17">
        <v>769</v>
      </c>
      <c r="J251" s="17">
        <v>516</v>
      </c>
      <c r="K251" s="17">
        <v>253</v>
      </c>
    </row>
    <row r="252" s="3" customFormat="1" customHeight="1" spans="1:11">
      <c r="A252" s="12" t="s">
        <v>1279</v>
      </c>
      <c r="B252" s="13" t="s">
        <v>1280</v>
      </c>
      <c r="C252" s="14" t="s">
        <v>488</v>
      </c>
      <c r="D252" s="14" t="s">
        <v>1281</v>
      </c>
      <c r="E252" s="14" t="s">
        <v>535</v>
      </c>
      <c r="F252" s="13" t="s">
        <v>1282</v>
      </c>
      <c r="G252" s="15">
        <v>46111</v>
      </c>
      <c r="H252" s="15">
        <v>46811</v>
      </c>
      <c r="I252" s="17">
        <v>785</v>
      </c>
      <c r="J252" s="17">
        <v>527</v>
      </c>
      <c r="K252" s="17">
        <v>258</v>
      </c>
    </row>
    <row r="253" s="3" customFormat="1" customHeight="1" spans="1:11">
      <c r="A253" s="12" t="s">
        <v>1283</v>
      </c>
      <c r="B253" s="13" t="s">
        <v>1284</v>
      </c>
      <c r="C253" s="14" t="s">
        <v>488</v>
      </c>
      <c r="D253" s="14" t="s">
        <v>1281</v>
      </c>
      <c r="E253" s="14" t="s">
        <v>535</v>
      </c>
      <c r="F253" s="13" t="s">
        <v>1285</v>
      </c>
      <c r="G253" s="15">
        <v>46111</v>
      </c>
      <c r="H253" s="15">
        <v>46811</v>
      </c>
      <c r="I253" s="17">
        <v>775</v>
      </c>
      <c r="J253" s="17">
        <v>520</v>
      </c>
      <c r="K253" s="17">
        <v>255</v>
      </c>
    </row>
    <row r="254" s="3" customFormat="1" customHeight="1" spans="1:11">
      <c r="A254" s="12" t="s">
        <v>1286</v>
      </c>
      <c r="B254" s="13" t="s">
        <v>1287</v>
      </c>
      <c r="C254" s="14" t="s">
        <v>488</v>
      </c>
      <c r="D254" s="14" t="s">
        <v>1281</v>
      </c>
      <c r="E254" s="14" t="s">
        <v>535</v>
      </c>
      <c r="F254" s="13" t="s">
        <v>1288</v>
      </c>
      <c r="G254" s="15">
        <v>46111</v>
      </c>
      <c r="H254" s="15">
        <v>46811</v>
      </c>
      <c r="I254" s="17">
        <v>799</v>
      </c>
      <c r="J254" s="17">
        <v>536</v>
      </c>
      <c r="K254" s="17">
        <v>263</v>
      </c>
    </row>
    <row r="255" s="3" customFormat="1" customHeight="1" spans="1:11">
      <c r="A255" s="12" t="s">
        <v>1289</v>
      </c>
      <c r="B255" s="13" t="s">
        <v>1290</v>
      </c>
      <c r="C255" s="14" t="s">
        <v>488</v>
      </c>
      <c r="D255" s="14" t="s">
        <v>1281</v>
      </c>
      <c r="E255" s="14" t="s">
        <v>535</v>
      </c>
      <c r="F255" s="13" t="s">
        <v>1291</v>
      </c>
      <c r="G255" s="15">
        <v>46111</v>
      </c>
      <c r="H255" s="15">
        <v>46811</v>
      </c>
      <c r="I255" s="17">
        <v>726</v>
      </c>
      <c r="J255" s="17">
        <v>487</v>
      </c>
      <c r="K255" s="17">
        <v>239</v>
      </c>
    </row>
    <row r="256" s="3" customFormat="1" customHeight="1" spans="1:11">
      <c r="A256" s="12" t="s">
        <v>1292</v>
      </c>
      <c r="B256" s="13" t="s">
        <v>1293</v>
      </c>
      <c r="C256" s="14" t="s">
        <v>488</v>
      </c>
      <c r="D256" s="14" t="s">
        <v>1281</v>
      </c>
      <c r="E256" s="14" t="s">
        <v>535</v>
      </c>
      <c r="F256" s="13" t="s">
        <v>1294</v>
      </c>
      <c r="G256" s="15">
        <v>46111</v>
      </c>
      <c r="H256" s="15">
        <v>46811</v>
      </c>
      <c r="I256" s="17">
        <v>764</v>
      </c>
      <c r="J256" s="17">
        <v>513</v>
      </c>
      <c r="K256" s="17">
        <v>251</v>
      </c>
    </row>
    <row r="257" s="3" customFormat="1" customHeight="1" spans="1:11">
      <c r="A257" s="12" t="s">
        <v>1295</v>
      </c>
      <c r="B257" s="13" t="s">
        <v>1296</v>
      </c>
      <c r="C257" s="14" t="s">
        <v>488</v>
      </c>
      <c r="D257" s="14" t="s">
        <v>1297</v>
      </c>
      <c r="E257" s="14" t="s">
        <v>535</v>
      </c>
      <c r="F257" s="13" t="s">
        <v>1298</v>
      </c>
      <c r="G257" s="15">
        <v>46111</v>
      </c>
      <c r="H257" s="15">
        <v>46811</v>
      </c>
      <c r="I257" s="17">
        <v>805</v>
      </c>
      <c r="J257" s="17">
        <v>540</v>
      </c>
      <c r="K257" s="17">
        <v>265</v>
      </c>
    </row>
    <row r="258" s="3" customFormat="1" customHeight="1" spans="1:11">
      <c r="A258" s="12" t="s">
        <v>1299</v>
      </c>
      <c r="B258" s="13" t="s">
        <v>1300</v>
      </c>
      <c r="C258" s="14" t="s">
        <v>488</v>
      </c>
      <c r="D258" s="14" t="s">
        <v>1297</v>
      </c>
      <c r="E258" s="14" t="s">
        <v>535</v>
      </c>
      <c r="F258" s="13" t="s">
        <v>1301</v>
      </c>
      <c r="G258" s="15">
        <v>46111</v>
      </c>
      <c r="H258" s="15">
        <v>46811</v>
      </c>
      <c r="I258" s="17">
        <v>790</v>
      </c>
      <c r="J258" s="17">
        <v>530</v>
      </c>
      <c r="K258" s="17">
        <v>260</v>
      </c>
    </row>
    <row r="259" s="3" customFormat="1" customHeight="1" spans="1:11">
      <c r="A259" s="12" t="s">
        <v>1302</v>
      </c>
      <c r="B259" s="13" t="s">
        <v>1303</v>
      </c>
      <c r="C259" s="14" t="s">
        <v>488</v>
      </c>
      <c r="D259" s="14" t="s">
        <v>1304</v>
      </c>
      <c r="E259" s="14" t="s">
        <v>535</v>
      </c>
      <c r="F259" s="13" t="s">
        <v>1305</v>
      </c>
      <c r="G259" s="15">
        <v>46111</v>
      </c>
      <c r="H259" s="15">
        <v>46811</v>
      </c>
      <c r="I259" s="17">
        <v>824</v>
      </c>
      <c r="J259" s="17">
        <v>553</v>
      </c>
      <c r="K259" s="17">
        <v>271</v>
      </c>
    </row>
    <row r="260" s="3" customFormat="1" customHeight="1" spans="1:11">
      <c r="A260" s="12" t="s">
        <v>1306</v>
      </c>
      <c r="B260" s="13" t="s">
        <v>1307</v>
      </c>
      <c r="C260" s="14" t="s">
        <v>488</v>
      </c>
      <c r="D260" s="14" t="s">
        <v>1304</v>
      </c>
      <c r="E260" s="14" t="s">
        <v>535</v>
      </c>
      <c r="F260" s="13" t="s">
        <v>1308</v>
      </c>
      <c r="G260" s="15">
        <v>46111</v>
      </c>
      <c r="H260" s="15">
        <v>46811</v>
      </c>
      <c r="I260" s="17">
        <v>749</v>
      </c>
      <c r="J260" s="17">
        <v>503</v>
      </c>
      <c r="K260" s="17">
        <v>246</v>
      </c>
    </row>
    <row r="261" s="3" customFormat="1" customHeight="1" spans="1:11">
      <c r="A261" s="12" t="s">
        <v>1309</v>
      </c>
      <c r="B261" s="13" t="s">
        <v>1310</v>
      </c>
      <c r="C261" s="14" t="s">
        <v>488</v>
      </c>
      <c r="D261" s="14" t="s">
        <v>1304</v>
      </c>
      <c r="E261" s="14" t="s">
        <v>535</v>
      </c>
      <c r="F261" s="13" t="s">
        <v>1311</v>
      </c>
      <c r="G261" s="15">
        <v>46111</v>
      </c>
      <c r="H261" s="15">
        <v>46811</v>
      </c>
      <c r="I261" s="17">
        <v>776</v>
      </c>
      <c r="J261" s="17">
        <v>521</v>
      </c>
      <c r="K261" s="17">
        <v>255</v>
      </c>
    </row>
    <row r="262" s="3" customFormat="1" customHeight="1" spans="1:11">
      <c r="A262" s="12" t="s">
        <v>1312</v>
      </c>
      <c r="B262" s="13" t="s">
        <v>1313</v>
      </c>
      <c r="C262" s="14" t="s">
        <v>488</v>
      </c>
      <c r="D262" s="14" t="s">
        <v>1304</v>
      </c>
      <c r="E262" s="14" t="s">
        <v>535</v>
      </c>
      <c r="F262" s="13" t="s">
        <v>1314</v>
      </c>
      <c r="G262" s="15">
        <v>46111</v>
      </c>
      <c r="H262" s="15">
        <v>46811</v>
      </c>
      <c r="I262" s="17">
        <v>784</v>
      </c>
      <c r="J262" s="17">
        <v>526</v>
      </c>
      <c r="K262" s="17">
        <v>258</v>
      </c>
    </row>
    <row r="263" s="3" customFormat="1" customHeight="1" spans="1:11">
      <c r="A263" s="12" t="s">
        <v>1315</v>
      </c>
      <c r="B263" s="13" t="s">
        <v>1316</v>
      </c>
      <c r="C263" s="14" t="s">
        <v>488</v>
      </c>
      <c r="D263" s="14" t="s">
        <v>1304</v>
      </c>
      <c r="E263" s="14" t="s">
        <v>535</v>
      </c>
      <c r="F263" s="13" t="s">
        <v>1317</v>
      </c>
      <c r="G263" s="15">
        <v>46111</v>
      </c>
      <c r="H263" s="15">
        <v>46811</v>
      </c>
      <c r="I263" s="17">
        <v>754</v>
      </c>
      <c r="J263" s="17">
        <v>506</v>
      </c>
      <c r="K263" s="17">
        <v>248</v>
      </c>
    </row>
    <row r="264" s="3" customFormat="1" customHeight="1" spans="1:11">
      <c r="A264" s="12" t="s">
        <v>1318</v>
      </c>
      <c r="B264" s="13" t="s">
        <v>1319</v>
      </c>
      <c r="C264" s="14" t="s">
        <v>488</v>
      </c>
      <c r="D264" s="14" t="s">
        <v>1304</v>
      </c>
      <c r="E264" s="14" t="s">
        <v>535</v>
      </c>
      <c r="F264" s="13" t="s">
        <v>1320</v>
      </c>
      <c r="G264" s="15">
        <v>46111</v>
      </c>
      <c r="H264" s="15">
        <v>47150</v>
      </c>
      <c r="I264" s="17">
        <v>596</v>
      </c>
      <c r="J264" s="17">
        <v>400</v>
      </c>
      <c r="K264" s="17">
        <v>196</v>
      </c>
    </row>
    <row r="265" s="3" customFormat="1" customHeight="1" spans="1:11">
      <c r="A265" s="12" t="s">
        <v>1321</v>
      </c>
      <c r="B265" s="13" t="s">
        <v>1322</v>
      </c>
      <c r="C265" s="14" t="s">
        <v>488</v>
      </c>
      <c r="D265" s="14" t="s">
        <v>1304</v>
      </c>
      <c r="E265" s="14" t="s">
        <v>535</v>
      </c>
      <c r="F265" s="13" t="s">
        <v>1323</v>
      </c>
      <c r="G265" s="15">
        <v>46111</v>
      </c>
      <c r="H265" s="15">
        <v>46811</v>
      </c>
      <c r="I265" s="17">
        <v>778</v>
      </c>
      <c r="J265" s="17">
        <v>522</v>
      </c>
      <c r="K265" s="17">
        <v>256</v>
      </c>
    </row>
    <row r="266" s="3" customFormat="1" customHeight="1" spans="1:11">
      <c r="A266" s="12" t="s">
        <v>1324</v>
      </c>
      <c r="B266" s="13" t="s">
        <v>1325</v>
      </c>
      <c r="C266" s="14" t="s">
        <v>488</v>
      </c>
      <c r="D266" s="14" t="s">
        <v>1304</v>
      </c>
      <c r="E266" s="14" t="s">
        <v>535</v>
      </c>
      <c r="F266" s="13" t="s">
        <v>1326</v>
      </c>
      <c r="G266" s="15">
        <v>46111</v>
      </c>
      <c r="H266" s="15">
        <v>47150</v>
      </c>
      <c r="I266" s="17">
        <v>764</v>
      </c>
      <c r="J266" s="17">
        <v>513</v>
      </c>
      <c r="K266" s="17">
        <v>251</v>
      </c>
    </row>
    <row r="267" s="3" customFormat="1" customHeight="1" spans="1:11">
      <c r="A267" s="12" t="s">
        <v>1327</v>
      </c>
      <c r="B267" s="13" t="s">
        <v>1328</v>
      </c>
      <c r="C267" s="14" t="s">
        <v>488</v>
      </c>
      <c r="D267" s="14" t="s">
        <v>1329</v>
      </c>
      <c r="E267" s="14" t="s">
        <v>535</v>
      </c>
      <c r="F267" s="13" t="s">
        <v>1330</v>
      </c>
      <c r="G267" s="15">
        <v>46111</v>
      </c>
      <c r="H267" s="15">
        <v>46811</v>
      </c>
      <c r="I267" s="17">
        <v>872</v>
      </c>
      <c r="J267" s="17">
        <v>585</v>
      </c>
      <c r="K267" s="17">
        <v>287</v>
      </c>
    </row>
    <row r="268" s="3" customFormat="1" customHeight="1" spans="1:11">
      <c r="A268" s="12" t="s">
        <v>1331</v>
      </c>
      <c r="B268" s="13" t="s">
        <v>1332</v>
      </c>
      <c r="C268" s="14" t="s">
        <v>488</v>
      </c>
      <c r="D268" s="14" t="s">
        <v>1329</v>
      </c>
      <c r="E268" s="14" t="s">
        <v>535</v>
      </c>
      <c r="F268" s="13" t="s">
        <v>1333</v>
      </c>
      <c r="G268" s="15">
        <v>46111</v>
      </c>
      <c r="H268" s="15">
        <v>46811</v>
      </c>
      <c r="I268" s="17">
        <v>861</v>
      </c>
      <c r="J268" s="17">
        <v>578</v>
      </c>
      <c r="K268" s="17">
        <v>283</v>
      </c>
    </row>
    <row r="269" s="3" customFormat="1" customHeight="1" spans="1:11">
      <c r="A269" s="12" t="s">
        <v>1334</v>
      </c>
      <c r="B269" s="13" t="s">
        <v>1335</v>
      </c>
      <c r="C269" s="14" t="s">
        <v>488</v>
      </c>
      <c r="D269" s="14" t="s">
        <v>1329</v>
      </c>
      <c r="E269" s="14" t="s">
        <v>535</v>
      </c>
      <c r="F269" s="13" t="s">
        <v>1336</v>
      </c>
      <c r="G269" s="15">
        <v>46111</v>
      </c>
      <c r="H269" s="15">
        <v>46811</v>
      </c>
      <c r="I269" s="17">
        <v>863</v>
      </c>
      <c r="J269" s="17">
        <v>579</v>
      </c>
      <c r="K269" s="17">
        <v>284</v>
      </c>
    </row>
    <row r="270" s="3" customFormat="1" customHeight="1" spans="1:11">
      <c r="A270" s="12" t="s">
        <v>1337</v>
      </c>
      <c r="B270" s="13" t="s">
        <v>1338</v>
      </c>
      <c r="C270" s="14" t="s">
        <v>488</v>
      </c>
      <c r="D270" s="14" t="s">
        <v>1329</v>
      </c>
      <c r="E270" s="14" t="s">
        <v>535</v>
      </c>
      <c r="F270" s="13" t="s">
        <v>1339</v>
      </c>
      <c r="G270" s="15">
        <v>46111</v>
      </c>
      <c r="H270" s="15">
        <v>47150</v>
      </c>
      <c r="I270" s="17">
        <v>732</v>
      </c>
      <c r="J270" s="17">
        <v>491</v>
      </c>
      <c r="K270" s="17">
        <v>241</v>
      </c>
    </row>
    <row r="271" s="3" customFormat="1" customHeight="1" spans="1:11">
      <c r="A271" s="12" t="s">
        <v>1340</v>
      </c>
      <c r="B271" s="13" t="s">
        <v>1341</v>
      </c>
      <c r="C271" s="14" t="s">
        <v>488</v>
      </c>
      <c r="D271" s="14" t="s">
        <v>1329</v>
      </c>
      <c r="E271" s="14" t="s">
        <v>535</v>
      </c>
      <c r="F271" s="13" t="s">
        <v>1342</v>
      </c>
      <c r="G271" s="15">
        <v>46111</v>
      </c>
      <c r="H271" s="15">
        <v>46811</v>
      </c>
      <c r="I271" s="17">
        <v>869</v>
      </c>
      <c r="J271" s="17">
        <v>583</v>
      </c>
      <c r="K271" s="17">
        <v>286</v>
      </c>
    </row>
    <row r="272" s="3" customFormat="1" customHeight="1" spans="1:11">
      <c r="A272" s="12" t="s">
        <v>1343</v>
      </c>
      <c r="B272" s="13" t="s">
        <v>1344</v>
      </c>
      <c r="C272" s="14" t="s">
        <v>488</v>
      </c>
      <c r="D272" s="14" t="s">
        <v>1329</v>
      </c>
      <c r="E272" s="14" t="s">
        <v>535</v>
      </c>
      <c r="F272" s="13" t="s">
        <v>1345</v>
      </c>
      <c r="G272" s="15">
        <v>46111</v>
      </c>
      <c r="H272" s="15">
        <v>46811</v>
      </c>
      <c r="I272" s="17">
        <v>729</v>
      </c>
      <c r="J272" s="17">
        <v>489</v>
      </c>
      <c r="K272" s="17">
        <v>240</v>
      </c>
    </row>
    <row r="273" s="3" customFormat="1" customHeight="1" spans="1:11">
      <c r="A273" s="12" t="s">
        <v>1346</v>
      </c>
      <c r="B273" s="13" t="s">
        <v>1347</v>
      </c>
      <c r="C273" s="14" t="s">
        <v>488</v>
      </c>
      <c r="D273" s="14" t="s">
        <v>1329</v>
      </c>
      <c r="E273" s="14" t="s">
        <v>535</v>
      </c>
      <c r="F273" s="13" t="s">
        <v>1348</v>
      </c>
      <c r="G273" s="15">
        <v>46111</v>
      </c>
      <c r="H273" s="15">
        <v>46784</v>
      </c>
      <c r="I273" s="17">
        <v>764</v>
      </c>
      <c r="J273" s="17">
        <v>513</v>
      </c>
      <c r="K273" s="17">
        <v>251</v>
      </c>
    </row>
    <row r="274" s="3" customFormat="1" customHeight="1" spans="1:11">
      <c r="A274" s="12" t="s">
        <v>1349</v>
      </c>
      <c r="B274" s="13" t="s">
        <v>1350</v>
      </c>
      <c r="C274" s="14" t="s">
        <v>488</v>
      </c>
      <c r="D274" s="14" t="s">
        <v>1329</v>
      </c>
      <c r="E274" s="14" t="s">
        <v>535</v>
      </c>
      <c r="F274" s="13" t="s">
        <v>1351</v>
      </c>
      <c r="G274" s="15">
        <v>46111</v>
      </c>
      <c r="H274" s="15">
        <v>46811</v>
      </c>
      <c r="I274" s="17">
        <v>788</v>
      </c>
      <c r="J274" s="17">
        <v>529</v>
      </c>
      <c r="K274" s="17">
        <v>259</v>
      </c>
    </row>
    <row r="275" s="3" customFormat="1" customHeight="1" spans="1:11">
      <c r="A275" s="12" t="s">
        <v>1352</v>
      </c>
      <c r="B275" s="13" t="s">
        <v>1353</v>
      </c>
      <c r="C275" s="14" t="s">
        <v>488</v>
      </c>
      <c r="D275" s="14" t="s">
        <v>1329</v>
      </c>
      <c r="E275" s="14" t="s">
        <v>535</v>
      </c>
      <c r="F275" s="13" t="s">
        <v>1354</v>
      </c>
      <c r="G275" s="15">
        <v>46111</v>
      </c>
      <c r="H275" s="15">
        <v>46811</v>
      </c>
      <c r="I275" s="17">
        <v>848</v>
      </c>
      <c r="J275" s="17">
        <v>569</v>
      </c>
      <c r="K275" s="17">
        <v>279</v>
      </c>
    </row>
    <row r="276" s="3" customFormat="1" customHeight="1" spans="1:11">
      <c r="A276" s="12" t="s">
        <v>1355</v>
      </c>
      <c r="B276" s="13" t="s">
        <v>1356</v>
      </c>
      <c r="C276" s="14" t="s">
        <v>488</v>
      </c>
      <c r="D276" s="14" t="s">
        <v>1329</v>
      </c>
      <c r="E276" s="14" t="s">
        <v>304</v>
      </c>
      <c r="F276" s="13" t="s">
        <v>1357</v>
      </c>
      <c r="G276" s="15">
        <v>46111</v>
      </c>
      <c r="H276" s="15">
        <v>46811</v>
      </c>
      <c r="I276" s="17">
        <v>787</v>
      </c>
      <c r="J276" s="17">
        <v>528</v>
      </c>
      <c r="K276" s="17">
        <v>259</v>
      </c>
    </row>
    <row r="277" s="3" customFormat="1" customHeight="1" spans="1:11">
      <c r="A277" s="12" t="s">
        <v>1358</v>
      </c>
      <c r="B277" s="13" t="s">
        <v>1359</v>
      </c>
      <c r="C277" s="14" t="s">
        <v>488</v>
      </c>
      <c r="D277" s="14" t="s">
        <v>1329</v>
      </c>
      <c r="E277" s="14" t="s">
        <v>535</v>
      </c>
      <c r="F277" s="13" t="s">
        <v>1360</v>
      </c>
      <c r="G277" s="15">
        <v>46111</v>
      </c>
      <c r="H277" s="15">
        <v>46811</v>
      </c>
      <c r="I277" s="17">
        <v>845</v>
      </c>
      <c r="J277" s="17">
        <v>567</v>
      </c>
      <c r="K277" s="17">
        <v>278</v>
      </c>
    </row>
    <row r="278" s="3" customFormat="1" customHeight="1" spans="1:11">
      <c r="A278" s="12" t="s">
        <v>1361</v>
      </c>
      <c r="B278" s="13" t="s">
        <v>1362</v>
      </c>
      <c r="C278" s="14" t="s">
        <v>488</v>
      </c>
      <c r="D278" s="14" t="s">
        <v>1329</v>
      </c>
      <c r="E278" s="14" t="s">
        <v>535</v>
      </c>
      <c r="F278" s="13" t="s">
        <v>1363</v>
      </c>
      <c r="G278" s="15">
        <v>46111</v>
      </c>
      <c r="H278" s="15">
        <v>46811</v>
      </c>
      <c r="I278" s="17">
        <v>793</v>
      </c>
      <c r="J278" s="17">
        <v>532</v>
      </c>
      <c r="K278" s="17">
        <v>261</v>
      </c>
    </row>
    <row r="279" s="3" customFormat="1" customHeight="1" spans="1:11">
      <c r="A279" s="12" t="s">
        <v>1364</v>
      </c>
      <c r="B279" s="13" t="s">
        <v>1365</v>
      </c>
      <c r="C279" s="14" t="s">
        <v>488</v>
      </c>
      <c r="D279" s="14" t="s">
        <v>489</v>
      </c>
      <c r="E279" s="14" t="s">
        <v>535</v>
      </c>
      <c r="F279" s="13" t="s">
        <v>1366</v>
      </c>
      <c r="G279" s="15">
        <v>46111</v>
      </c>
      <c r="H279" s="15">
        <v>46811</v>
      </c>
      <c r="I279" s="17">
        <v>757</v>
      </c>
      <c r="J279" s="17">
        <v>508</v>
      </c>
      <c r="K279" s="17">
        <v>249</v>
      </c>
    </row>
    <row r="280" s="3" customFormat="1" customHeight="1" spans="1:11">
      <c r="A280" s="12" t="s">
        <v>1367</v>
      </c>
      <c r="B280" s="13" t="s">
        <v>1368</v>
      </c>
      <c r="C280" s="14" t="s">
        <v>488</v>
      </c>
      <c r="D280" s="14" t="s">
        <v>489</v>
      </c>
      <c r="E280" s="14" t="s">
        <v>535</v>
      </c>
      <c r="F280" s="13" t="s">
        <v>1369</v>
      </c>
      <c r="G280" s="15">
        <v>46111</v>
      </c>
      <c r="H280" s="15">
        <v>46811</v>
      </c>
      <c r="I280" s="17">
        <v>749</v>
      </c>
      <c r="J280" s="17">
        <v>503</v>
      </c>
      <c r="K280" s="17">
        <v>246</v>
      </c>
    </row>
    <row r="281" s="3" customFormat="1" customHeight="1" spans="1:11">
      <c r="A281" s="12" t="s">
        <v>1370</v>
      </c>
      <c r="B281" s="13" t="s">
        <v>1371</v>
      </c>
      <c r="C281" s="14" t="s">
        <v>488</v>
      </c>
      <c r="D281" s="14" t="s">
        <v>489</v>
      </c>
      <c r="E281" s="14" t="s">
        <v>535</v>
      </c>
      <c r="F281" s="13" t="s">
        <v>1372</v>
      </c>
      <c r="G281" s="15">
        <v>46111</v>
      </c>
      <c r="H281" s="15">
        <v>46811</v>
      </c>
      <c r="I281" s="17">
        <v>755</v>
      </c>
      <c r="J281" s="17">
        <v>507</v>
      </c>
      <c r="K281" s="17">
        <v>248</v>
      </c>
    </row>
  </sheetData>
  <protectedRanges>
    <protectedRange sqref="C282:K65477 A1:B83 C1:K83 A85:B232 C85:K232 A234:B281 C234:K281 A35:B35 A242:B243 A143:B143 A233:B233 C233:K233 A84:B84 C84:K84 A109:B142 C109:K142 A38:B74 C38:K74 C242:J242 C243:K243 C205:J205 C204:J204 C143:J143 C37:J37 C36:J36 C35:J35 A282:B65477" name="Range1"/>
  </protectedRanges>
  <autoFilter ref="A3:K281">
    <extLst/>
  </autoFilter>
  <mergeCells count="1">
    <mergeCell ref="A2:K2"/>
  </mergeCells>
  <conditionalFormatting sqref="B1 B282:B65536">
    <cfRule type="duplicateValues" dxfId="0" priority="4"/>
  </conditionalFormatting>
  <pageMargins left="0.751388888888889" right="0.751388888888889" top="0.60625" bottom="0.802777777777778" header="0.5" footer="0.5"/>
  <pageSetup paperSize="8" scale="92" fitToHeight="0" orientation="landscape" horizontalDpi="600"/>
  <headerFooter>
    <oddFooter>&amp;C第 &amp;P 页，共 &amp;N 页</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5A5607D9-04D2-4DE1-AC0E-A7772F01BC71}">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customXml/itemProps5.xml><?xml version="1.0" encoding="utf-8"?>
<ds:datastoreItem xmlns:ds="http://schemas.openxmlformats.org/officeDocument/2006/customXml" ds:itemID="{A02B7E37-CEC0-4786-9FA4-411A3DC59612}">
  <ds:schemaRefs/>
</ds:datastoreItem>
</file>

<file path=docProps/app.xml><?xml version="1.0" encoding="utf-8"?>
<Properties xmlns="http://schemas.openxmlformats.org/officeDocument/2006/extended-properties" xmlns:vt="http://schemas.openxmlformats.org/officeDocument/2006/docPropsVTypes">
  <Application>WPS Office WWO_wpscloud_20251119194033-e37bccecd3</Application>
  <HeadingPairs>
    <vt:vector size="2" baseType="variant">
      <vt:variant>
        <vt:lpstr>工作表</vt:lpstr>
      </vt:variant>
      <vt:variant>
        <vt:i4>3</vt:i4>
      </vt:variant>
    </vt:vector>
  </HeadingPairs>
  <TitlesOfParts>
    <vt:vector size="3" baseType="lpstr">
      <vt:lpstr>指南清单及评审结果</vt:lpstr>
      <vt:lpstr>计算经费</vt:lpstr>
      <vt:lpstr>打印版本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孔维政</cp:lastModifiedBy>
  <dcterms:created xsi:type="dcterms:W3CDTF">2022-11-14T02:17:00Z</dcterms:created>
  <dcterms:modified xsi:type="dcterms:W3CDTF">2025-12-15T01:35:52Z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A16BFD599B3446C1A0C2000651414879_13</vt:lpwstr>
  </property>
  <property fmtid="{D5CDD505-2E9C-101B-9397-08002B2CF9AE}" pid="4" name="KSOReadingLayout">
    <vt:bool>false</vt:bool>
  </property>
  <property fmtid="{D5CDD505-2E9C-101B-9397-08002B2CF9AE}" pid="5" name="CalculationRule">
    <vt:i4>0</vt:i4>
  </property>
</Properties>
</file>